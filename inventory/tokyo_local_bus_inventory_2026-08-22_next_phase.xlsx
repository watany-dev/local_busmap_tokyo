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fcf722340c94367" /></Relationships>
</file>

<file path=xl/workbook.xml><?xml version="1.0" encoding="utf-8"?>
<x:workbook xmlns:x="http://schemas.openxmlformats.org/spreadsheetml/2006/main">
  <x:sheets>
    <x:sheet xmlns:r="http://schemas.openxmlformats.org/officeDocument/2006/relationships" name="調査概要" sheetId="1" r:id="Rb4b76bb41e6548f2"/>
    <x:sheet xmlns:r="http://schemas.openxmlformats.org/officeDocument/2006/relationships" name="サービス一覧" sheetId="2" r:id="R2d74f7091aaf4c78"/>
    <x:sheet xmlns:r="http://schemas.openxmlformats.org/officeDocument/2006/relationships" name="路線一覧_2023" sheetId="3" r:id="R5524417250b24ef4"/>
    <x:sheet xmlns:r="http://schemas.openxmlformats.org/officeDocument/2006/relationships" name="GTFSカタログ" sheetId="4" r:id="R07e04f3b03694882"/>
    <x:sheet xmlns:r="http://schemas.openxmlformats.org/officeDocument/2006/relationships" name="事業者包括GTFS" sheetId="5" r:id="R8fd2a668c67045ba"/>
    <x:sheet xmlns:r="http://schemas.openxmlformats.org/officeDocument/2006/relationships" name="変更・要確認" sheetId="6" r:id="R68bc1473778e4cef"/>
    <x:sheet xmlns:r="http://schemas.openxmlformats.org/officeDocument/2006/relationships" name="自治体サイト" sheetId="7" r:id="Rcc78923bae4448e6"/>
    <x:sheet xmlns:r="http://schemas.openxmlformats.org/officeDocument/2006/relationships" name="実装設計" sheetId="8" r:id="R7aac2a556a2840e0"/>
    <x:sheet xmlns:r="http://schemas.openxmlformats.org/officeDocument/2006/relationships" name="MVP優先順位" sheetId="9" r:id="Rbaf99e239c0f4f5f"/>
    <x:sheet xmlns:r="http://schemas.openxmlformats.org/officeDocument/2006/relationships" name="取得検証_20260822" sheetId="10" r:id="Rd159b881b31e4fd6"/>
    <x:sheet xmlns:r="http://schemas.openxmlformats.org/officeDocument/2006/relationships" name="成果物一覧" sheetId="11" r:id="R17e381ae3ff84d9e"/>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yyyy-mm-dd hh:mm:ss"/>
    <x:numFmt numFmtId="202" formatCode="#,##0"/>
  </x:numFmts>
  <x:fonts count="13">
    <x:font>
      <x:sz val="11"/>
      <x:name val="Carlito"/>
    </x:font>
    <x:font>
      <x:b/>
      <x:sz val="16"/>
      <x:color rgb="FFFFFFFF"/>
      <x:name val="Carlito"/>
    </x:font>
    <x:font>
      <x:i/>
      <x:sz val="11"/>
      <x:color rgb="FF334155"/>
      <x:name val="Carlito"/>
    </x:font>
    <x:font>
      <x:b/>
      <x:sz val="11"/>
      <x:color rgb="FFFFFFFF"/>
      <x:name val="Carlito"/>
    </x:font>
    <x:font>
      <x:sz val="11"/>
      <x:color rgb="FF2563EB"/>
      <x:name val="Carlito"/>
    </x:font>
    <x:font>
      <x:b/>
      <x:sz val="11"/>
      <x:color rgb="FF334155"/>
      <x:name val="Carlito"/>
    </x:font>
    <x:font>
      <x:b/>
      <x:sz val="12"/>
      <x:color rgb="FF065F46"/>
      <x:name val="Carlito"/>
    </x:font>
    <x:font>
      <x:b/>
      <x:sz val="11"/>
      <x:color rgb="FF166534"/>
      <x:name val="Carlito"/>
    </x:font>
    <x:font>
      <x:b/>
      <x:sz val="11"/>
      <x:color rgb="FF1E40AF"/>
      <x:name val="Carlito"/>
    </x:font>
    <x:font>
      <x:b/>
      <x:sz val="11"/>
      <x:color rgb="FF92400E"/>
      <x:name val="Carlito"/>
    </x:font>
    <x:font>
      <x:b/>
      <x:sz val="11"/>
      <x:color rgb="FF991B1B"/>
      <x:name val="Carlito"/>
    </x:font>
    <x:font>
      <x:sz val="10"/>
      <x:color rgb="FF1F1F1F"/>
      <x:name val="Carlito"/>
    </x:font>
    <x:font>
      <x:b/>
      <x:sz val="11"/>
      <x:color rgb="FF274E13"/>
      <x:name val="Carlito"/>
    </x:font>
  </x:fonts>
  <x:fills count="20">
    <x:fill>
      <x:patternFill patternType="none"/>
    </x:fill>
    <x:fill>
      <x:patternFill patternType="gray125"/>
    </x:fill>
    <x:fill>
      <x:patternFill patternType="solid">
        <x:fgColor rgb="FF0F172A"/>
      </x:patternFill>
    </x:fill>
    <x:fill>
      <x:patternFill patternType="solid">
        <x:fgColor rgb="FFE2E8F0"/>
      </x:patternFill>
    </x:fill>
    <x:fill>
      <x:patternFill patternType="solid">
        <x:fgColor rgb="FF0F766E"/>
      </x:patternFill>
    </x:fill>
    <x:fill>
      <x:patternFill patternType="solid">
        <x:fgColor rgb="FFF1F5F9"/>
      </x:patternFill>
    </x:fill>
    <x:fill>
      <x:patternFill patternType="solid">
        <x:fgColor rgb="FFECFDF5"/>
      </x:patternFill>
    </x:fill>
    <x:fill>
      <x:patternFill patternType="solid">
        <x:fgColor rgb="FFDCFCE7"/>
      </x:patternFill>
    </x:fill>
    <x:fill>
      <x:patternFill patternType="solid">
        <x:fgColor rgb="FFDBEAFE"/>
      </x:patternFill>
    </x:fill>
    <x:fill>
      <x:patternFill patternType="solid">
        <x:fgColor rgb="FFFEF3C7"/>
      </x:patternFill>
    </x:fill>
    <x:fill>
      <x:patternFill patternType="solid">
        <x:fgColor rgb="FFFEE2E2"/>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D9EAD3"/>
      </x:patternFill>
    </x:fill>
    <x:fill>
      <x:patternFill patternType="solid">
        <x:fgColor rgb="FFF3F8F1"/>
      </x:patternFill>
    </x:fill>
    <x:fill>
      <x:patternFill patternType="solid">
        <x:fgColor rgb="FFE2F0D9"/>
      </x:patternFill>
    </x:fill>
    <x:fill>
      <x:patternFill patternType="solid">
        <x:fgColor rgb="FFFCE4D6"/>
      </x:patternFill>
    </x:fill>
    <x:fill>
      <x:patternFill patternType="solid">
        <x:fgColor rgb="FFF4CCCC"/>
      </x:patternFill>
    </x:fill>
    <x:fill>
      <x:patternFill patternType="solid">
        <x:fgColor rgb="FFFFF2CC"/>
      </x:patternFill>
    </x:fill>
  </x:fills>
  <x:borders count="2">
    <x:border/>
    <x:border/>
  </x:borders>
  <x:cellStyleXfs count="1">
    <x:xf numFmtId="0" fontId="0" fillId="0" borderId="0"/>
  </x:cellStyleXfs>
  <x:cellXfs count="1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3" fillId="4" borderId="0" xfId="0" applyNumberFormat="1" applyFont="1" applyFill="1" applyBorder="1" applyAlignment="1">
      <x:alignment horizontal="center" vertical="top" wrapText="1"/>
    </x:xf>
    <x:xf numFmtId="0" fontId="3" fillId="4" borderId="1" xfId="0" applyNumberFormat="1" applyFont="1" applyFill="1" applyBorder="1" applyAlignment="1">
      <x:alignment horizontal="center" vertical="top" wrapText="1"/>
    </x:xf>
    <x:xf numFmtId="0" fontId="0" fillId="5" borderId="0" xfId="0" applyNumberFormat="1" applyFont="1" applyFill="1" applyBorder="1"/>
    <x:xf numFmtId="0" fontId="5" fillId="5" borderId="0" xfId="0" applyNumberFormat="1" applyFont="1" applyFill="1" applyBorder="1"/>
    <x:xf numFmtId="0" fontId="0" fillId="5" borderId="1" xfId="0" applyNumberFormat="1" applyFont="1" applyFill="1" applyBorder="1"/>
    <x:xf numFmtId="0" fontId="5" fillId="5" borderId="1" xfId="0" applyNumberFormat="1" applyFont="1" applyFill="1" applyBorder="1"/>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horizontal="right"/>
    </x:xf>
    <x:xf numFmtId="0" fontId="0" fillId="6" borderId="1" xfId="0" applyNumberFormat="1" applyFont="1" applyFill="1" applyBorder="1"/>
    <x:xf numFmtId="0" fontId="6" fillId="6" borderId="1" xfId="0" applyNumberFormat="1" applyFont="1" applyFill="1" applyBorder="1"/>
    <x:xf numFmtId="0" fontId="6" fillId="6" borderId="1" xfId="0" applyNumberFormat="1" applyFont="1" applyFill="1" applyBorder="1" applyAlignment="1">
      <x:alignment horizontal="right"/>
    </x:xf>
    <x:xf numFmtId="200" fontId="6" fillId="6" borderId="0" xfId="0" applyNumberFormat="1" applyFont="1" applyFill="1" applyBorder="1" applyAlignment="1">
      <x:alignment horizontal="right"/>
    </x:xf>
    <x:xf numFmtId="200" fontId="6" fillId="6" borderId="1" xfId="0" applyNumberFormat="1" applyFont="1" applyFill="1" applyBorder="1" applyAlignment="1">
      <x:alignment horizontal="right"/>
    </x:xf>
    <x:xf numFmtId="0" fontId="1" fillId="2" borderId="0" xfId="0" applyNumberFormat="1" applyFont="1" applyFill="1" applyBorder="1" applyAlignment="1">
      <x:alignment horizontal="left" vertical="top"/>
    </x:xf>
    <x:xf numFmtId="0" fontId="2" fillId="3" borderId="0" xfId="0" applyNumberFormat="1" applyFont="1" applyFill="1" applyBorder="1" applyAlignment="1">
      <x:alignment horizontal="left" vertical="top"/>
    </x:xf>
    <x:xf numFmtId="0" fontId="5" fillId="5" borderId="0" xfId="0" applyNumberFormat="1" applyFont="1" applyFill="1" applyBorder="1" applyAlignment="1">
      <x:alignment vertical="top"/>
    </x:xf>
    <x:xf numFmtId="200" fontId="6" fillId="6" borderId="0" xfId="0" applyNumberFormat="1" applyFont="1" applyFill="1" applyBorder="1" applyAlignment="1">
      <x:alignment horizontal="right" vertical="top"/>
    </x:xf>
    <x:xf numFmtId="0" fontId="0" fillId="0" borderId="0" xfId="0" applyNumberFormat="1" applyFont="1" applyFill="1" applyBorder="1" applyAlignment="1">
      <x:alignment vertical="top"/>
    </x:xf>
    <x:xf numFmtId="0" fontId="6" fillId="6" borderId="0" xfId="0" applyNumberFormat="1" applyFont="1" applyFill="1" applyBorder="1" applyAlignment="1">
      <x:alignment horizontal="right" vertical="top"/>
    </x:xf>
    <x:xf numFmtId="0" fontId="1" fillId="2" borderId="1" xfId="0" applyNumberFormat="1" applyFont="1" applyFill="1" applyBorder="1" applyAlignment="1">
      <x:alignment horizontal="left" vertical="top"/>
    </x:xf>
    <x:xf numFmtId="0" fontId="2" fillId="3" borderId="1" xfId="0" applyNumberFormat="1" applyFont="1" applyFill="1" applyBorder="1" applyAlignment="1">
      <x:alignment horizontal="left" vertical="top"/>
    </x:xf>
    <x:xf numFmtId="0" fontId="5" fillId="5" borderId="1" xfId="0" applyNumberFormat="1" applyFont="1" applyFill="1" applyBorder="1" applyAlignment="1">
      <x:alignment vertical="top"/>
    </x:xf>
    <x:xf numFmtId="200" fontId="6" fillId="6" borderId="1" xfId="0" applyNumberFormat="1" applyFont="1" applyFill="1" applyBorder="1" applyAlignment="1">
      <x:alignment horizontal="right" vertical="top"/>
    </x:xf>
    <x:xf numFmtId="0" fontId="0" fillId="0" borderId="1" xfId="0" applyNumberFormat="1" applyFont="1" applyFill="1" applyBorder="1" applyAlignment="1">
      <x:alignment vertical="top"/>
    </x:xf>
    <x:xf numFmtId="0" fontId="6" fillId="6" borderId="1" xfId="0" applyNumberFormat="1" applyFont="1" applyFill="1" applyBorder="1" applyAlignment="1">
      <x:alignment horizontal="right" vertical="top"/>
    </x:xf>
    <x:xf numFmtId="0" fontId="1" fillId="2" borderId="0" xfId="0" applyNumberFormat="1" applyFont="1" applyFill="1" applyBorder="1" applyAlignment="1">
      <x:alignment horizontal="left" vertical="top" wrapText="1"/>
    </x:xf>
    <x:xf numFmtId="0" fontId="2" fillId="3" borderId="0" xfId="0" applyNumberFormat="1" applyFont="1" applyFill="1" applyBorder="1" applyAlignment="1">
      <x:alignment horizontal="left" vertical="top" wrapText="1"/>
    </x:xf>
    <x:xf numFmtId="0" fontId="5" fillId="5" borderId="0" xfId="0" applyNumberFormat="1" applyFont="1" applyFill="1" applyBorder="1" applyAlignment="1">
      <x:alignment vertical="top" wrapText="1"/>
    </x:xf>
    <x:xf numFmtId="200" fontId="6" fillId="6" borderId="0" xfId="0" applyNumberFormat="1" applyFont="1" applyFill="1" applyBorder="1" applyAlignment="1">
      <x:alignment horizontal="right" vertical="top" wrapText="1"/>
    </x:xf>
    <x:xf numFmtId="0" fontId="6" fillId="6" borderId="0" xfId="0" applyNumberFormat="1" applyFont="1" applyFill="1" applyBorder="1" applyAlignment="1">
      <x:alignment horizontal="right" vertical="top" wrapText="1"/>
    </x:xf>
    <x:xf numFmtId="0" fontId="1" fillId="2" borderId="1" xfId="0" applyNumberFormat="1" applyFont="1" applyFill="1" applyBorder="1" applyAlignment="1">
      <x:alignment horizontal="left" vertical="top" wrapText="1"/>
    </x:xf>
    <x:xf numFmtId="0" fontId="2" fillId="3" borderId="1" xfId="0" applyNumberFormat="1" applyFont="1" applyFill="1" applyBorder="1" applyAlignment="1">
      <x:alignment horizontal="left" vertical="top" wrapText="1"/>
    </x:xf>
    <x:xf numFmtId="0" fontId="5" fillId="5" borderId="1" xfId="0" applyNumberFormat="1" applyFont="1" applyFill="1" applyBorder="1" applyAlignment="1">
      <x:alignment vertical="top" wrapText="1"/>
    </x:xf>
    <x:xf numFmtId="200" fontId="6" fillId="6" borderId="1" xfId="0" applyNumberFormat="1" applyFont="1" applyFill="1" applyBorder="1" applyAlignment="1">
      <x:alignment horizontal="right" vertical="top" wrapText="1"/>
    </x:xf>
    <x:xf numFmtId="0" fontId="6" fillId="6" borderId="1" xfId="0" applyNumberFormat="1" applyFont="1" applyFill="1" applyBorder="1" applyAlignment="1">
      <x:alignment horizontal="right" vertical="top" wrapText="1"/>
    </x:xf>
    <x:xf numFmtId="0" fontId="0" fillId="7" borderId="0" xfId="0" applyNumberFormat="1" applyFont="1" applyFill="1" applyBorder="1" applyAlignment="1">
      <x:alignment vertical="top" wrapText="1"/>
    </x:xf>
    <x:xf numFmtId="0" fontId="7" fillId="7" borderId="0" xfId="0" applyNumberFormat="1" applyFont="1" applyFill="1" applyBorder="1" applyAlignment="1">
      <x:alignment vertical="top" wrapText="1"/>
    </x:xf>
    <x:xf numFmtId="0" fontId="7" fillId="7" borderId="0" xfId="0" applyNumberFormat="1" applyFont="1" applyFill="1" applyBorder="1" applyAlignment="1">
      <x:alignment horizontal="center" vertical="top" wrapText="1"/>
    </x:xf>
    <x:xf numFmtId="0" fontId="0" fillId="7" borderId="1" xfId="0" applyNumberFormat="1" applyFont="1" applyFill="1" applyBorder="1" applyAlignment="1">
      <x:alignment vertical="top" wrapText="1"/>
    </x:xf>
    <x:xf numFmtId="0" fontId="7" fillId="7" borderId="1" xfId="0" applyNumberFormat="1" applyFont="1" applyFill="1" applyBorder="1" applyAlignment="1">
      <x:alignment vertical="top" wrapText="1"/>
    </x:xf>
    <x:xf numFmtId="0" fontId="7" fillId="7" borderId="1" xfId="0" applyNumberFormat="1" applyFont="1" applyFill="1" applyBorder="1" applyAlignment="1">
      <x:alignment horizontal="center" vertical="top" wrapText="1"/>
    </x:xf>
    <x:xf numFmtId="0" fontId="0" fillId="8" borderId="0"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0" xfId="0" applyNumberFormat="1" applyFont="1" applyFill="1" applyBorder="1" applyAlignment="1">
      <x:alignment horizontal="center" vertical="top" wrapText="1"/>
    </x:xf>
    <x:xf numFmtId="0" fontId="0" fillId="8" borderId="1"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1" xfId="0" applyNumberFormat="1" applyFont="1" applyFill="1" applyBorder="1" applyAlignment="1">
      <x:alignment horizontal="center" vertical="top" wrapText="1"/>
    </x:xf>
    <x:xf numFmtId="0" fontId="0" fillId="9" borderId="0" xfId="0" applyNumberFormat="1" applyFont="1" applyFill="1" applyBorder="1" applyAlignment="1">
      <x:alignment vertical="top" wrapText="1"/>
    </x:xf>
    <x:xf numFmtId="0" fontId="9" fillId="9" borderId="0" xfId="0" applyNumberFormat="1" applyFont="1" applyFill="1" applyBorder="1" applyAlignment="1">
      <x:alignment vertical="top" wrapText="1"/>
    </x:xf>
    <x:xf numFmtId="0" fontId="9" fillId="9" borderId="0" xfId="0" applyNumberFormat="1" applyFont="1" applyFill="1" applyBorder="1" applyAlignment="1">
      <x:alignment horizontal="center" vertical="top" wrapText="1"/>
    </x:xf>
    <x:xf numFmtId="0" fontId="0" fillId="9" borderId="1" xfId="0" applyNumberFormat="1" applyFont="1" applyFill="1" applyBorder="1" applyAlignment="1">
      <x:alignment vertical="top" wrapText="1"/>
    </x:xf>
    <x:xf numFmtId="0" fontId="9" fillId="9" borderId="1" xfId="0" applyNumberFormat="1" applyFont="1" applyFill="1" applyBorder="1" applyAlignment="1">
      <x:alignment vertical="top" wrapText="1"/>
    </x:xf>
    <x:xf numFmtId="0" fontId="9" fillId="9" borderId="1" xfId="0" applyNumberFormat="1" applyFont="1" applyFill="1" applyBorder="1" applyAlignment="1">
      <x:alignment horizontal="center" vertical="top" wrapText="1"/>
    </x:xf>
    <x:xf numFmtId="0" fontId="0" fillId="10" borderId="0" xfId="0" applyNumberFormat="1" applyFont="1" applyFill="1" applyBorder="1" applyAlignment="1">
      <x:alignment vertical="top" wrapText="1"/>
    </x:xf>
    <x:xf numFmtId="0" fontId="10" fillId="10" borderId="0" xfId="0" applyNumberFormat="1" applyFont="1" applyFill="1" applyBorder="1" applyAlignment="1">
      <x:alignment vertical="top" wrapText="1"/>
    </x:xf>
    <x:xf numFmtId="0" fontId="10" fillId="10" borderId="0" xfId="0" applyNumberFormat="1" applyFont="1" applyFill="1" applyBorder="1" applyAlignment="1">
      <x:alignment horizontal="center" vertical="top" wrapText="1"/>
    </x:xf>
    <x:xf numFmtId="0" fontId="0" fillId="10" borderId="1" xfId="0" applyNumberFormat="1" applyFont="1" applyFill="1" applyBorder="1" applyAlignment="1">
      <x:alignment vertical="top" wrapText="1"/>
    </x:xf>
    <x:xf numFmtId="0" fontId="10" fillId="10" borderId="1" xfId="0" applyNumberFormat="1" applyFont="1" applyFill="1" applyBorder="1" applyAlignment="1">
      <x:alignment vertical="top" wrapText="1"/>
    </x:xf>
    <x:xf numFmtId="0" fontId="10" fillId="10" borderId="1" xfId="0" applyNumberFormat="1" applyFont="1" applyFill="1" applyBorder="1" applyAlignment="1">
      <x:alignment horizontal="center" vertical="top" wrapText="1"/>
    </x:xf>
    <x:xf numFmtId="0" fontId="0"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0" fillId="0" borderId="0" xfId="0" applyNumberFormat="1" applyFont="1" applyFill="1" applyBorder="1"/>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horizontal="left"/>
    </x:xf>
    <x:xf numFmtId="0" fontId="1" fillId="11" borderId="0" xfId="0" applyNumberFormat="1" applyFont="1" applyFill="1" applyBorder="1" applyAlignment="1">
      <x:alignment horizontal="left" vertical="center"/>
    </x:xf>
    <x:xf numFmtId="0" fontId="0" fillId="12" borderId="0" xfId="0" applyNumberFormat="1" applyFont="1" applyFill="1" applyBorder="1"/>
    <x:xf numFmtId="0" fontId="11" fillId="12" borderId="0" xfId="0" applyNumberFormat="1" applyFont="1" applyFill="1" applyBorder="1"/>
    <x:xf numFmtId="0" fontId="11" fillId="12" borderId="0" xfId="0" applyNumberFormat="1" applyFont="1" applyFill="1" applyBorder="1" applyAlignment="1">
      <x:alignment horizontal="left"/>
    </x:xf>
    <x:xf numFmtId="0" fontId="11" fillId="12" borderId="0" xfId="0" applyNumberFormat="1" applyFont="1" applyFill="1" applyBorder="1" applyAlignment="1">
      <x:alignment horizontal="left" vertical="center"/>
    </x:xf>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wrapText="1"/>
    </x:xf>
    <x:xf numFmtId="0" fontId="3" fillId="13" borderId="0" xfId="0" applyNumberFormat="1" applyFont="1" applyFill="1" applyBorder="1" applyAlignment="1">
      <x:alignment horizontal="center" wrapText="1"/>
    </x:xf>
    <x:xf numFmtId="0" fontId="3" fillId="13" borderId="0" xfId="0" applyNumberFormat="1" applyFont="1" applyFill="1" applyBorder="1" applyAlignment="1">
      <x:alignment horizontal="center" vertical="center" wrapText="1"/>
    </x:xf>
    <x:xf numFmtId="0" fontId="0" fillId="14" borderId="0" xfId="0" applyNumberFormat="1" applyFont="1" applyFill="1" applyBorder="1"/>
    <x:xf numFmtId="0" fontId="12" fillId="14" borderId="0" xfId="0" applyNumberFormat="1" applyFont="1" applyFill="1" applyBorder="1"/>
    <x:xf numFmtId="0" fontId="12" fillId="14" borderId="0" xfId="0" applyNumberFormat="1" applyFont="1" applyFill="1" applyBorder="1" applyAlignment="1">
      <x:alignment horizontal="center"/>
    </x:xf>
    <x:xf numFmtId="0" fontId="12" fillId="14" borderId="0" xfId="0" applyNumberFormat="1" applyFont="1" applyFill="1" applyBorder="1" applyAlignment="1">
      <x:alignment horizontal="center" vertical="center"/>
    </x:xf>
    <x:xf numFmtId="0" fontId="0" fillId="15" borderId="0" xfId="0" applyNumberFormat="1" applyFont="1" applyFill="1" applyBorder="1"/>
    <x:xf numFmtId="0" fontId="12" fillId="15" borderId="0" xfId="0" applyNumberFormat="1" applyFont="1" applyFill="1" applyBorder="1"/>
    <x:xf numFmtId="0" fontId="12" fillId="15" borderId="0" xfId="0" applyNumberFormat="1" applyFont="1" applyFill="1" applyBorder="1" applyAlignment="1">
      <x:alignment horizontal="center"/>
    </x:xf>
    <x:xf numFmtId="0" fontId="12" fillId="15" borderId="0" xfId="0" applyNumberFormat="1" applyFont="1" applyFill="1" applyBorder="1" applyAlignment="1">
      <x:alignment horizontal="center" vertical="center"/>
    </x:xf>
    <x:xf numFmtId="0" fontId="0" fillId="16" borderId="0" xfId="0" applyNumberFormat="1" applyFont="1" applyFill="1" applyBorder="1" applyAlignment="1">
      <x:alignment vertical="top" wrapText="1"/>
    </x:xf>
    <x:xf numFmtId="0" fontId="0" fillId="17" borderId="0" xfId="0" applyNumberFormat="1" applyFont="1" applyFill="1" applyBorder="1" applyAlignment="1">
      <x:alignment vertical="top" wrapText="1"/>
    </x:xf>
    <x:xf numFmtId="0" fontId="0" fillId="18" borderId="0" xfId="0" applyNumberFormat="1" applyFont="1" applyFill="1" applyBorder="1" applyAlignment="1">
      <x:alignment vertical="top" wrapText="1"/>
    </x:xf>
    <x:xf numFmtId="0" fontId="0" fillId="19" borderId="0" xfId="0" applyNumberFormat="1" applyFont="1" applyFill="1" applyBorder="1" applyAlignment="1">
      <x:alignment vertical="top" wrapText="1"/>
    </x:xf>
    <x:xf numFmtId="201" fontId="0" fillId="16" borderId="0" xfId="0" applyNumberFormat="1" applyFont="1" applyFill="1" applyBorder="1" applyAlignment="1">
      <x:alignment vertical="top" wrapText="1"/>
    </x:xf>
    <x:xf numFmtId="201" fontId="0" fillId="19" borderId="0" xfId="0" applyNumberFormat="1" applyFont="1" applyFill="1" applyBorder="1" applyAlignment="1">
      <x:alignment vertical="top" wrapText="1"/>
    </x:xf>
    <x:xf numFmtId="200" fontId="0" fillId="16" borderId="0" xfId="0" applyNumberFormat="1" applyFont="1" applyFill="1" applyBorder="1" applyAlignment="1">
      <x:alignment vertical="top" wrapText="1"/>
    </x:xf>
    <x:xf numFmtId="200" fontId="0" fillId="19" borderId="0" xfId="0" applyNumberFormat="1" applyFont="1" applyFill="1" applyBorder="1" applyAlignment="1">
      <x:alignment vertical="top" wrapText="1"/>
    </x:xf>
    <x:xf numFmtId="202" fontId="0" fillId="16" borderId="0" xfId="0" applyNumberFormat="1" applyFont="1" applyFill="1" applyBorder="1" applyAlignment="1">
      <x:alignment vertical="top" wrapText="1"/>
    </x:xf>
    <x:xf numFmtId="202" fontId="0" fillId="19" borderId="0" xfId="0" applyNumberFormat="1" applyFont="1" applyFill="1" applyBorder="1" applyAlignment="1">
      <x:alignment vertical="top" wrapText="1"/>
    </x:xf>
  </x:cellXfs>
  <x:cellStyles count="1">
    <x:cellStyle name="Normal" xfId="0"/>
  </x:cellStyles>
  <x:dxfs count="27">
    <x:dxf>
      <x:font>
        <x:color rgb="FF166534"/>
      </x:font>
      <x:fill>
        <x:patternFill>
          <x:bgColor rgb="FFDCFCE7"/>
        </x:patternFill>
      </x:fill>
    </x:dxf>
    <x:dxf>
      <x:font>
        <x:color rgb="FF374151"/>
      </x:font>
      <x:fill>
        <x:patternFill>
          <x:bgColor rgb="FFE5E7EB"/>
        </x:patternFill>
      </x:fill>
    </x:dxf>
    <x:dxf>
      <x:font>
        <x:color rgb="FF991B1B"/>
      </x:font>
      <x:fill>
        <x:patternFill>
          <x:bgColor rgb="FFFEE2E2"/>
        </x:patternFill>
      </x:fill>
    </x:dxf>
    <x:dxf>
      <x:font>
        <x:color rgb="FF92400E"/>
      </x:font>
      <x:fill>
        <x:patternFill>
          <x:bgColor rgb="FFFEF3C7"/>
        </x:patternFill>
      </x:fill>
    </x:dxf>
    <x:dxf>
      <x:font>
        <x:b/>
        <x:color rgb="FF166534"/>
      </x:font>
      <x:fill>
        <x:patternFill>
          <x:bgColor rgb="FFDCFCE7"/>
        </x:patternFill>
      </x:fill>
    </x:dxf>
    <x:dxf>
      <x:font>
        <x:b/>
        <x:color rgb="FF1E40AF"/>
      </x:font>
      <x:fill>
        <x:patternFill>
          <x:bgColor rgb="FFDBEAFE"/>
        </x:patternFill>
      </x:fill>
    </x:dxf>
    <x:dxf>
      <x:font>
        <x:b/>
        <x:color rgb="FF92400E"/>
      </x:font>
      <x:fill>
        <x:patternFill>
          <x:bgColor rgb="FFFEF3C7"/>
        </x:patternFill>
      </x:fill>
    </x:dxf>
    <x:dxf>
      <x:font>
        <x:b/>
        <x:color rgb="FF991B1B"/>
      </x:font>
      <x:fill>
        <x:patternFill>
          <x:bgColor rgb="FFFEE2E2"/>
        </x:patternFill>
      </x:fill>
    </x:dxf>
    <x:dxf>
      <x:fill>
        <x:patternFill>
          <x:bgColor rgb="FFDCFCE7"/>
        </x:patternFill>
      </x:fill>
    </x:dxf>
    <x:dxf>
      <x:fill>
        <x:patternFill>
          <x:bgColor rgb="FFFEE2E2"/>
        </x:patternFill>
      </x:fill>
    </x:dxf>
    <x:dxf>
      <x:fill>
        <x:patternFill>
          <x:bgColor rgb="FFFEF3C7"/>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3730A3"/>
      </x:font>
      <x:fill>
        <x:patternFill>
          <x:bgColor rgb="FFE0E7FF"/>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3730A3"/>
      </x:font>
      <x:fill>
        <x:patternFill>
          <x:bgColor rgb="FFE0E7FF"/>
        </x:patternFill>
      </x:fill>
    </x:dxf>
    <x:dxf>
      <x:fill>
        <x:patternFill>
          <x:bgColor rgb="FFDCFCE7"/>
        </x:patternFill>
      </x:fill>
    </x:dxf>
    <x:dxf>
      <x:fill>
        <x:patternFill>
          <x:bgColor rgb="FFFEF3C7"/>
        </x:patternFill>
      </x:fill>
    </x:dxf>
    <x:dxf>
      <x:font>
        <x:b/>
      </x:font>
      <x:fill>
        <x:patternFill>
          <x:bgColor rgb="FFFEE2E2"/>
        </x:patternFill>
      </x:fill>
    </x:dxf>
    <x:dxf>
      <x:font>
        <x:b/>
        <x:color rgb="FF166534"/>
      </x:font>
      <x:fill>
        <x:patternFill>
          <x:bgColor rgb="FFDCFCE7"/>
        </x:patternFill>
      </x:fill>
    </x:dxf>
    <x:dxf>
      <x:font>
        <x:b/>
        <x:color rgb="FF1E40AF"/>
      </x:font>
      <x:fill>
        <x:patternFill>
          <x:bgColor rgb="FFDBEAFE"/>
        </x:patternFill>
      </x:fill>
    </x:dxf>
    <x:dxf>
      <x:font>
        <x:b/>
        <x:color rgb="FF92400E"/>
      </x:font>
      <x:fill>
        <x:patternFill>
          <x:bgColor rgb="FFFEF3C7"/>
        </x:patternFill>
      </x:fill>
    </x:dxf>
    <x:dxf>
      <x:font>
        <x:b/>
        <x:color rgb="FF991B1B"/>
      </x:font>
      <x:fill>
        <x:patternFill>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cfd1c3e49a240c8" /><Relationship Type="http://schemas.openxmlformats.org/officeDocument/2006/relationships/theme" Target="/xl/theme/theme1.xml" Id="R0324f46758614cf7" /><Relationship Type="http://schemas.openxmlformats.org/officeDocument/2006/relationships/sharedStrings" Target="/xl/sharedStrings.xml" Id="R1e40144d63b54b41" /><Relationship Type="http://schemas.openxmlformats.org/officeDocument/2006/relationships/worksheet" Target="/xl/worksheets/sheet1.xml" Id="Rb4b76bb41e6548f2" /><Relationship Type="http://schemas.openxmlformats.org/officeDocument/2006/relationships/worksheet" Target="/xl/worksheets/sheet2.xml" Id="R2d74f7091aaf4c78" /><Relationship Type="http://schemas.openxmlformats.org/officeDocument/2006/relationships/worksheet" Target="/xl/worksheets/sheet3.xml" Id="R5524417250b24ef4" /><Relationship Type="http://schemas.openxmlformats.org/officeDocument/2006/relationships/worksheet" Target="/xl/worksheets/sheet4.xml" Id="R07e04f3b03694882" /><Relationship Type="http://schemas.openxmlformats.org/officeDocument/2006/relationships/worksheet" Target="/xl/worksheets/sheet5.xml" Id="R8fd2a668c67045ba" /><Relationship Type="http://schemas.openxmlformats.org/officeDocument/2006/relationships/worksheet" Target="/xl/worksheets/sheet6.xml" Id="R68bc1473778e4cef" /><Relationship Type="http://schemas.openxmlformats.org/officeDocument/2006/relationships/worksheet" Target="/xl/worksheets/sheet7.xml" Id="Rcc78923bae4448e6" /><Relationship Type="http://schemas.openxmlformats.org/officeDocument/2006/relationships/worksheet" Target="/xl/worksheets/sheet8.xml" Id="R7aac2a556a2840e0" /><Relationship Type="http://schemas.openxmlformats.org/officeDocument/2006/relationships/worksheet" Target="/xl/worksheets/sheet9.xml" Id="Rbaf99e239c0f4f5f" /><Relationship Type="http://schemas.openxmlformats.org/officeDocument/2006/relationships/worksheet" Target="/xl/worksheets/sheet10.xml" Id="Rd159b881b31e4fd6" /><Relationship Type="http://schemas.openxmlformats.org/officeDocument/2006/relationships/worksheet" Target="/xl/worksheets/sheet11.xml" Id="R17e381ae3ff84d9e" /></Relationships>
</file>

<file path=xl/drawings/_rels/drawing1.xml.rels>&#65279;<?xml version="1.0" encoding="utf-8"?><Relationships xmlns="http://schemas.openxmlformats.org/package/2006/relationships"><Relationship Type="http://schemas.openxmlformats.org/officeDocument/2006/relationships/chart" Target="/xl/drawings/charts/chart1.xml" Id="R00d202c4d78b403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サービスのMVP優先度</a:t>
            </a:r>
          </a:p>
        </c:rich>
      </c:tx>
    </c:title>
    <c:plotArea>
      <c:barChart>
        <c:barDir val="col"/>
        <c:grouping val="clustered"/>
        <c:varyColors val="0"/>
        <c:ser>
          <c:idx val="0"/>
          <c:order val="0"/>
          <c:tx>
            <c:v>件数</c:v>
          </c:tx>
          <c:cat>
            <c:strRef>
              <c:f>'調査概要'!$L$6:$L$9</c:f>
              <c:strCache>
                <c:ptCount val="0"/>
              </c:strCache>
            </c:strRef>
          </c:cat>
          <c:val>
            <c:numRef>
              <c:f>'調査概要'!$M$6:$M$9</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10</xdr:row>
      <xdr:rowOff>0</xdr:rowOff>
    </xdr:from>
    <xdr:to>
      <xdr:col>14</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0d202c4d78b4039"/>
        </a:graphicData>
      </a:graphic>
    </xdr:graphicFrame>
    <xdr:clientData/>
  </xdr:twoCellAnchor>
</xdr:wsDr>
</file>

<file path=xl/tables/table1.xml><?xml version="1.0" encoding="utf-8"?>
<x:table xmlns:x="http://schemas.openxmlformats.org/spreadsheetml/2006/main" id="1" name="ServicesTable" displayName="ServicesTable" ref="A3:Y77" headerRowCount="1" totalsRowCount="0" totalsRowShown="0">
  <x:tableColumns count="25">
    <x:tableColumn id="1" name="service_id"/>
    <x:tableColumn id="2" name="対象判定"/>
    <x:tableColumn id="3" name="地域区分"/>
    <x:tableColumn id="4" name="自治体"/>
    <x:tableColumn id="5" name="サービス名"/>
    <x:tableColumn id="6" name="交通形態"/>
    <x:tableColumn id="7" name="基準/追加"/>
    <x:tableColumn id="8" name="路線・エリア"/>
    <x:tableColumn id="9" name="運行事業者"/>
    <x:tableColumn id="10" name="運賃"/>
    <x:tableColumn id="11" name="現行確認"/>
    <x:tableColumn id="12" name="2026補足"/>
    <x:tableColumn id="13" name="GTFS状態"/>
    <x:tableColumn id="14" name="取得方式"/>
    <x:tableColumn id="15" name="GTFS URL"/>
    <x:tableColumn id="16" name="ライセンス"/>
    <x:tableColumn id="17" name="GTFS最終更新"/>
    <x:tableColumn id="18" name="有効終了"/>
    <x:tableColumn id="19" name="GTFS-RT"/>
    <x:tableColumn id="20" name="公式URL"/>
    <x:tableColumn id="21" name="基準資料URL"/>
    <x:tableColumn id="22" name="確認日"/>
    <x:tableColumn id="23" name="MVP優先度"/>
    <x:tableColumn id="24" name="Feed ID"/>
    <x:tableColumn id="25" name="備考"/>
  </x:tableColumns>
  <x:tableStyleInfo name="TableStyleMedium2" showFirstColumn="0" showLastColumn="0" showRowStripes="1" showColumnStripes="0"/>
</x:table>
</file>

<file path=xl/tables/table2.xml><?xml version="1.0" encoding="utf-8"?>
<x:table xmlns:x="http://schemas.openxmlformats.org/spreadsheetml/2006/main" id="2" name="RoutesBaselineTable" displayName="RoutesBaselineTable" ref="A3:L197" headerRowCount="1" totalsRowCount="0" totalsRowShown="0">
  <x:tableColumns count="12">
    <x:tableColumn id="1" name="route_source_id"/>
    <x:tableColumn id="2" name="service_id"/>
    <x:tableColumn id="3" name="地域区分"/>
    <x:tableColumn id="4" name="自治体"/>
    <x:tableColumn id="5" name="サービス名"/>
    <x:tableColumn id="6" name="路線・エリア"/>
    <x:tableColumn id="7" name="運賃"/>
    <x:tableColumn id="8" name="運行事業者"/>
    <x:tableColumn id="9" name="対象判定"/>
    <x:tableColumn id="10" name="原典行"/>
    <x:tableColumn id="11" name="基準資料URL"/>
    <x:tableColumn id="12" name="確認日"/>
  </x:tableColumns>
  <x:tableStyleInfo name="TableStyleMedium2" showFirstColumn="0" showLastColumn="0" showRowStripes="1" showColumnStripes="0"/>
</x:table>
</file>

<file path=xl/tables/table3.xml><?xml version="1.0" encoding="utf-8"?>
<x:table xmlns:x="http://schemas.openxmlformats.org/spreadsheetml/2006/main" id="3" name="GtfsCatalogTable" displayName="GtfsCatalogTable" ref="A3:W36" headerRowCount="1" totalsRowCount="0" totalsRowShown="0">
  <x:tableColumns count="23">
    <x:tableColumn id="1" name="Feed ID"/>
    <x:tableColumn id="2" name="区分"/>
    <x:tableColumn id="3" name="自治体"/>
    <x:tableColumn id="4" name="フィード名"/>
    <x:tableColumn id="5" name="対象サービス"/>
    <x:tableColumn id="6" name="カバー範囲"/>
    <x:tableColumn id="7" name="静的GTFS URL"/>
    <x:tableColumn id="8" name="アクセス"/>
    <x:tableColumn id="9" name="ライセンス"/>
    <x:tableColumn id="10" name="最終更新"/>
    <x:tableColumn id="11" name="有効開始"/>
    <x:tableColumn id="12" name="有効終了"/>
    <x:tableColumn id="13" name="次期開始"/>
    <x:tableColumn id="14" name="停留所数"/>
    <x:tableColumn id="15" name="RT TripUpdate"/>
    <x:tableColumn id="16" name="RT VehiclePosition"/>
    <x:tableColumn id="17" name="RT Alert"/>
    <x:tableColumn id="18" name="有効判定"/>
    <x:tableColumn id="19" name="GTFS-RT"/>
    <x:tableColumn id="20" name="実装メモ"/>
    <x:tableColumn id="21" name="公式URL"/>
    <x:tableColumn id="22" name="調査ソースURL"/>
    <x:tableColumn id="23" name="確認日"/>
  </x:tableColumns>
  <x:tableStyleInfo name="TableStyleMedium2" showFirstColumn="0" showLastColumn="0" showRowStripes="1" showColumnStripes="0"/>
</x:table>
</file>

<file path=xl/tables/table4.xml><?xml version="1.0" encoding="utf-8"?>
<x:table xmlns:x="http://schemas.openxmlformats.org/spreadsheetml/2006/main" id="4" name="OperatorGtfsTable" displayName="OperatorGtfsTable" ref="A3:Q8" headerRowCount="1" totalsRowCount="0" totalsRowShown="0">
  <x:tableColumns count="17">
    <x:tableColumn id="1" name="Operator ID"/>
    <x:tableColumn id="2" name="事業者"/>
    <x:tableColumn id="3" name="静的GTFS URL"/>
    <x:tableColumn id="4" name="アクセス"/>
    <x:tableColumn id="5" name="ライセンス"/>
    <x:tableColumn id="6" name="最終更新"/>
    <x:tableColumn id="7" name="有効開始"/>
    <x:tableColumn id="8" name="有効終了"/>
    <x:tableColumn id="9" name="次期開始"/>
    <x:tableColumn id="10" name="停留所数"/>
    <x:tableColumn id="11" name="RT TripUpdate"/>
    <x:tableColumn id="12" name="RT VehiclePosition"/>
    <x:tableColumn id="13" name="自治体路線候補"/>
    <x:tableColumn id="14" name="有効判定"/>
    <x:tableColumn id="15" name="実装メモ"/>
    <x:tableColumn id="16" name="調査ソースURL"/>
    <x:tableColumn id="17" name="確認日"/>
  </x:tableColumns>
  <x:tableStyleInfo name="TableStyleMedium2" showFirstColumn="0" showLastColumn="0" showRowStripes="1" showColumnStripes="0"/>
</x:table>
</file>

<file path=xl/tables/table5.xml><?xml version="1.0" encoding="utf-8"?>
<x:table xmlns:x="http://schemas.openxmlformats.org/spreadsheetml/2006/main" id="5" name="ChangesTable" displayName="ChangesTable" ref="A3:K15" headerRowCount="1" totalsRowCount="0" totalsRowShown="0">
  <x:tableColumns count="11">
    <x:tableColumn id="1" name="Change ID"/>
    <x:tableColumn id="2" name="分類"/>
    <x:tableColumn id="3" name="自治体"/>
    <x:tableColumn id="4" name="サービス"/>
    <x:tableColumn id="5" name="2023基準/旧状態"/>
    <x:tableColumn id="6" name="2026現行確認"/>
    <x:tableColumn id="7" name="アプリ影響"/>
    <x:tableColumn id="8" name="具体対応"/>
    <x:tableColumn id="9" name="状態"/>
    <x:tableColumn id="10" name="出典URL"/>
    <x:tableColumn id="11" name="確認日"/>
  </x:tableColumns>
  <x:tableStyleInfo name="TableStyleMedium2" showFirstColumn="0" showLastColumn="0" showRowStripes="1" showColumnStripes="0"/>
</x:table>
</file>

<file path=xl/tables/table6.xml><?xml version="1.0" encoding="utf-8"?>
<x:table xmlns:x="http://schemas.openxmlformats.org/spreadsheetml/2006/main" id="6" name="MunicipalitySitesTable" displayName="MunicipalitySitesTable" ref="A3:G57" headerRowCount="1" totalsRowCount="0" totalsRowShown="0">
  <x:tableColumns count="7">
    <x:tableColumn id="1" name="自治体"/>
    <x:tableColumn id="2" name="地域区分"/>
    <x:tableColumn id="3" name="公式サイト/交通ページ"/>
    <x:tableColumn id="4" name="地域公共交通計画等"/>
    <x:tableColumn id="5" name="東京都基準資料URL"/>
    <x:tableColumn id="6" name="確認日"/>
    <x:tableColumn id="7" name="備考"/>
  </x:tableColumns>
  <x:tableStyleInfo name="TableStyleMedium2" showFirstColumn="0" showLastColumn="0" showRowStripes="1" showColumnStripes="0"/>
</x:table>
</file>

<file path=xl/tables/table7.xml><?xml version="1.0" encoding="utf-8"?>
<x:table xmlns:x="http://schemas.openxmlformats.org/spreadsheetml/2006/main" id="7" name="ImplementationTable" displayName="ImplementationTable" ref="A3:I23" headerRowCount="1" totalsRowCount="0" totalsRowShown="0">
  <x:tableColumns count="9">
    <x:tableColumn id="1" name="工程"/>
    <x:tableColumn id="2" name="コンポーネント"/>
    <x:tableColumn id="3" name="具体作業"/>
    <x:tableColumn id="4" name="入力"/>
    <x:tableColumn id="5" name="出力/テーブル"/>
    <x:tableColumn id="6" name="技術候補"/>
    <x:tableColumn id="7" name="更新頻度"/>
    <x:tableColumn id="8" name="障害時の扱い"/>
    <x:tableColumn id="9" name="完了条件"/>
  </x:tableColumns>
  <x:tableStyleInfo name="TableStyleMedium2" showFirstColumn="0" showLastColumn="0" showRowStripes="1" showColumnStripes="0"/>
</x:table>
</file>

<file path=xl/tables/table8.xml><?xml version="1.0" encoding="utf-8"?>
<x:table xmlns:x="http://schemas.openxmlformats.org/spreadsheetml/2006/main" id="8" name="MvpPriorityTable" displayName="MvpPriorityTable" ref="A3:L61" headerRowCount="1" totalsRowCount="0" totalsRowShown="0">
  <x:tableColumns count="12">
    <x:tableColumn id="1" name="優先度"/>
    <x:tableColumn id="2" name="種別"/>
    <x:tableColumn id="3" name="ID"/>
    <x:tableColumn id="4" name="自治体/範囲"/>
    <x:tableColumn id="5" name="サービス/フィード"/>
    <x:tableColumn id="6" name="アクセス"/>
    <x:tableColumn id="7" name="有効終了"/>
    <x:tableColumn id="8" name="優先理由"/>
    <x:tableColumn id="9" name="次の具体作業"/>
    <x:tableColumn id="10" name="依存条件"/>
    <x:tableColumn id="11" name="完了条件"/>
    <x:tableColumn id="12" name="出典URL"/>
  </x:tableColumns>
  <x:tableStyleInfo name="TableStyleMedium2" showFirstColumn="0" showLastColumn="0" showRowStripes="1" showColumnStripes="0"/>
</x:table>
</file>

<file path=xl/tables/table9.xml><?xml version="1.0" encoding="utf-8"?>
<x:table xmlns:x="http://schemas.openxmlformats.org/spreadsheetml/2006/main" id="9" name="GTFSVerification20260822" displayName="GTFSVerification20260822" ref="A5:R26" headerRowCount="1" totalsRowCount="0" totalsRowShown="0">
  <x:tableColumns count="18">
    <x:tableColumn id="1" name="優先度"/>
    <x:tableColumn id="2" name="Feed ID"/>
    <x:tableColumn id="3" name="自治体"/>
    <x:tableColumn id="4" name="サービス"/>
    <x:tableColumn id="5" name="ライセンス"/>
    <x:tableColumn id="6" name="設定URL"/>
    <x:tableColumn id="7" name="本環境直接取得"/>
    <x:tableColumn id="8" name="外部照合"/>
    <x:tableColumn id="9" name="外部取得時刻 UTC"/>
    <x:tableColumn id="10" name="解決済URL"/>
    <x:tableColumn id="11" name="ZIP bytes"/>
    <x:tableColumn id="12" name="feed_start"/>
    <x:tableColumn id="13" name="feed_end"/>
    <x:tableColumn id="14" name="feed_version"/>
    <x:tableColumn id="15" name="shapes.txt"/>
    <x:tableColumn id="16" name="必須ファイル"/>
    <x:tableColumn id="17" name="実装判断／次作業"/>
    <x:tableColumn id="18" name="照合ソース"/>
  </x:tableColumns>
  <x:tableStyleInfo name="TableStyleMedium2" showFirstColumn="0" showLastColumn="0" showRowStripes="1" showColumnStripes="0"/>
</x:table>
</file>

<file path=xl/tables/table10.xml><?xml version="1.0" encoding="utf-8"?>
<x:table xmlns:x="http://schemas.openxmlformats.org/spreadsheetml/2006/main" id="10" name="NextPhaseArtifacts" displayName="NextPhaseArtifacts" ref="A4:H19" headerRowCount="1" totalsRowCount="0" totalsRowShown="0">
  <x:tableColumns count="8">
    <x:tableColumn id="1" name="区分"/>
    <x:tableColumn id="2" name="パス"/>
    <x:tableColumn id="3" name="役割"/>
    <x:tableColumn id="4" name="実行／確認コマンド"/>
    <x:tableColumn id="5" name="状態"/>
    <x:tableColumn id="6" name="テスト結果"/>
    <x:tableColumn id="7" name="入力"/>
    <x:tableColumn id="8" name="出力"/>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21998cb007b74f92" /></Relationships>
</file>

<file path=xl/worksheets/_rels/sheet2.xml.rels>&#65279;<?xml version="1.0" encoding="utf-8"?><Relationships xmlns="http://schemas.openxmlformats.org/package/2006/relationships"><Relationship Type="http://schemas.openxmlformats.org/officeDocument/2006/relationships/table" Target="/xl/tables/table1.xml" Id="R07fc8d7cebd24e12" /></Relationships>
</file>

<file path=xl/worksheets/_rels/sheet3.xml.rels>&#65279;<?xml version="1.0" encoding="utf-8"?><Relationships xmlns="http://schemas.openxmlformats.org/package/2006/relationships"><Relationship Type="http://schemas.openxmlformats.org/officeDocument/2006/relationships/table" Target="/xl/tables/table2.xml" Id="R7c529e4492264efa" /></Relationships>
</file>

<file path=xl/worksheets/_rels/sheet4.xml.rels>&#65279;<?xml version="1.0" encoding="utf-8"?><Relationships xmlns="http://schemas.openxmlformats.org/package/2006/relationships"><Relationship Type="http://schemas.openxmlformats.org/officeDocument/2006/relationships/table" Target="/xl/tables/table3.xml" Id="R8852e585d411480d" /></Relationships>
</file>

<file path=xl/worksheets/_rels/sheet5.xml.rels>&#65279;<?xml version="1.0" encoding="utf-8"?><Relationships xmlns="http://schemas.openxmlformats.org/package/2006/relationships"><Relationship Type="http://schemas.openxmlformats.org/officeDocument/2006/relationships/table" Target="/xl/tables/table4.xml" Id="Re17410fe109d4295" /></Relationships>
</file>

<file path=xl/worksheets/_rels/sheet6.xml.rels>&#65279;<?xml version="1.0" encoding="utf-8"?><Relationships xmlns="http://schemas.openxmlformats.org/package/2006/relationships"><Relationship Type="http://schemas.openxmlformats.org/officeDocument/2006/relationships/table" Target="/xl/tables/table5.xml" Id="R41a6b6e5bfc24718" /></Relationships>
</file>

<file path=xl/worksheets/_rels/sheet7.xml.rels>&#65279;<?xml version="1.0" encoding="utf-8"?><Relationships xmlns="http://schemas.openxmlformats.org/package/2006/relationships"><Relationship Type="http://schemas.openxmlformats.org/officeDocument/2006/relationships/table" Target="/xl/tables/table6.xml" Id="Rcec41d4cabc54a0b" /></Relationships>
</file>

<file path=xl/worksheets/_rels/sheet8.xml.rels>&#65279;<?xml version="1.0" encoding="utf-8"?><Relationships xmlns="http://schemas.openxmlformats.org/package/2006/relationships"><Relationship Type="http://schemas.openxmlformats.org/officeDocument/2006/relationships/table" Target="/xl/tables/table7.xml" Id="R30bf8e9c37c74bbf" /></Relationships>
</file>

<file path=xl/worksheets/_rels/sheet9.xml.rels>&#65279;<?xml version="1.0" encoding="utf-8"?><Relationships xmlns="http://schemas.openxmlformats.org/package/2006/relationships"><Relationship Type="http://schemas.openxmlformats.org/officeDocument/2006/relationships/table" Target="/xl/tables/table8.xml" Id="Rd29d9ec763d94ec2" /></Relationships>
</file>

<file path=xl/worksheets/_rels/sheet10.xml.rels>&#65279;<?xml version="1.0" encoding="utf-8"?><Relationships xmlns="http://schemas.openxmlformats.org/package/2006/relationships"><Relationship Type="http://schemas.openxmlformats.org/officeDocument/2006/relationships/table" Target="/xl/tables/table9.xml" Id="Rf8519587bb974fbe" /></Relationships>
</file>

<file path=xl/worksheets/_rels/sheet11.xml.rels>&#65279;<?xml version="1.0" encoding="utf-8"?><Relationships xmlns="http://schemas.openxmlformats.org/package/2006/relationships"><Relationship Type="http://schemas.openxmlformats.org/officeDocument/2006/relationships/table" Target="/xl/tables/table10.xml" Id="Rc01e19308580475e" /></Relationships>
</file>

<file path=xl/worksheets/sheet1.xml><?xml version="1.0" encoding="utf-8"?>
<x:worksheet xmlns:x="http://schemas.openxmlformats.org/spreadsheetml/2006/main">
  <x:sheetFormatPr defaultRowHeight="15"/>
  <x:cols>
    <x:col min="1" max="1" width="27" hidden="0" customWidth="1"/>
    <x:col min="2" max="2" width="16" hidden="0" customWidth="1"/>
    <x:col min="3" max="3" width="3" hidden="0" customWidth="1"/>
    <x:col min="4" max="4" width="18" hidden="0" customWidth="1"/>
    <x:col min="5" max="5" width="26" hidden="0" customWidth="1"/>
    <x:col min="6" max="6" width="26" hidden="0" customWidth="1"/>
    <x:col min="7" max="7" width="26" hidden="0" customWidth="1"/>
    <x:col min="8" max="8" width="3" hidden="0" customWidth="1"/>
    <x:col min="9" max="9" width="24" hidden="0" customWidth="1"/>
    <x:col min="10" max="10" width="13" hidden="0" customWidth="1"/>
    <x:col min="11" max="11" width="3" hidden="0" customWidth="1"/>
    <x:col min="12" max="12" width="18" hidden="0" customWidth="1"/>
    <x:col min="13" max="13" width="13" hidden="0" customWidth="1"/>
    <x:col min="14" max="14" width="16" hidden="0" customWidth="1"/>
  </x:cols>
  <x:sheetData>
    <x:row r="1" ht="32" customHeight="1">
      <x:c r="A1" s="62" t="str">
        <x:v>東京都内ローカルバス・地域交通 調査台帳</x:v>
      </x:c>
      <x:c r="B1" s="62"/>
      <x:c r="C1" s="62"/>
      <x:c r="D1" s="62"/>
      <x:c r="E1" s="62"/>
      <x:c r="F1" s="62"/>
      <x:c r="G1" s="62"/>
      <x:c r="H1" s="62"/>
      <x:c r="I1" s="62"/>
      <x:c r="J1" s="62"/>
      <x:c r="K1" s="62"/>
      <x:c r="L1" s="62"/>
      <x:c r="M1" s="62"/>
      <x:c r="N1" s="62"/>
    </x:row>
    <x:row r="2" ht="24" customHeight="1">
      <x:c r="A2" s="63" t="str">
        <x:v>対象：自治体が関与するコミュニティバス・地域公共交通。東京都交通局運行は除外判定。</x:v>
      </x:c>
      <x:c r="B2" s="63"/>
      <x:c r="C2" s="63"/>
      <x:c r="D2" s="63"/>
      <x:c r="E2" s="63"/>
      <x:c r="F2" s="63"/>
      <x:c r="G2" s="63"/>
      <x:c r="H2" s="63"/>
      <x:c r="I2" s="63"/>
      <x:c r="J2" s="63"/>
      <x:c r="K2" s="63"/>
      <x:c r="L2" s="63"/>
      <x:c r="M2" s="63"/>
      <x:c r="N2" s="63"/>
    </x:row>
    <x:row r="3">
      <x:c r="A3" s="64" t="str">
        <x:v>調査基準日</x:v>
      </x:c>
      <x:c r="B3" s="65" t="n">
        <x:v>46256</x:v>
      </x:c>
      <x:c r="C3" s="29"/>
      <x:c r="D3" s="29"/>
      <x:c r="E3" s="29"/>
      <x:c r="F3" s="29"/>
      <x:c r="G3" s="29"/>
      <x:c r="H3" s="29"/>
      <x:c r="I3" s="29"/>
      <x:c r="J3" s="29"/>
      <x:c r="K3" s="29"/>
      <x:c r="L3" s="29"/>
      <x:c r="M3" s="29"/>
      <x:c r="N3" s="29"/>
    </x:row>
    <x:row r="4">
      <x:c r="A4" s="29"/>
      <x:c r="B4" s="29"/>
      <x:c r="C4" s="29"/>
      <x:c r="D4" s="29"/>
      <x:c r="E4" s="29"/>
      <x:c r="F4" s="29"/>
      <x:c r="G4" s="29"/>
      <x:c r="H4" s="29"/>
      <x:c r="I4" s="29"/>
      <x:c r="J4" s="29"/>
      <x:c r="K4" s="29"/>
      <x:c r="L4" s="29"/>
      <x:c r="M4" s="29"/>
      <x:c r="N4" s="29"/>
    </x:row>
    <x:row r="5">
      <x:c r="A5" s="36" t="str">
        <x:v>KPI</x:v>
      </x:c>
      <x:c r="B5" s="36" t="str">
        <x:v>値</x:v>
      </x:c>
      <x:c r="C5" s="29"/>
      <x:c r="D5" s="36" t="str">
        <x:v>調査範囲と設計判断</x:v>
      </x:c>
      <x:c r="E5" s="36"/>
      <x:c r="F5" s="36"/>
      <x:c r="G5" s="36"/>
      <x:c r="H5" s="29"/>
      <x:c r="I5" s="36" t="str">
        <x:v>個別GTFSアクセス</x:v>
      </x:c>
      <x:c r="J5" s="36" t="str">
        <x:v>件数</x:v>
      </x:c>
      <x:c r="K5" s="29"/>
      <x:c r="L5" s="36" t="str">
        <x:v>サービス優先度</x:v>
      </x:c>
      <x:c r="M5" s="36" t="str">
        <x:v>件数</x:v>
      </x:c>
      <x:c r="N5" s="29"/>
    </x:row>
    <x:row r="6" ht="45" customHeight="1">
      <x:c r="A6" s="64" t="str">
        <x:v>2023基準サービス数</x:v>
      </x:c>
      <x:c r="B6" s="66" t="n">
        <x:f>COUNTIF('サービス一覧'!$G$4:$G$200,"2023基準")</x:f>
        <x:v>71</x:v>
      </x:c>
      <x:c r="C6" s="29"/>
      <x:c r="D6" s="64" t="str">
        <x:v>対象範囲</x:v>
      </x:c>
      <x:c r="E6" s="29" t="str">
        <x:v>23区・多摩・島しょの自治体コミュニティバス、地域乗合交通、デマンド交通。一般の民間路線バスは拡張候補として分離。</x:v>
      </x:c>
      <x:c r="F6" s="29"/>
      <x:c r="G6" s="29"/>
      <x:c r="H6" s="29"/>
      <x:c r="I6" s="29" t="str">
        <x:v>公開・キー不要</x:v>
      </x:c>
      <x:c r="J6" s="29" t="n">
        <x:f>COUNTIF('GTFSカタログ'!$H$4:$H$100,I6)</x:f>
        <x:v>26</x:v>
      </x:c>
      <x:c r="K6" s="29"/>
      <x:c r="L6" s="74" t="str">
        <x:v>A</x:v>
      </x:c>
      <x:c r="M6" s="29" t="n">
        <x:f>COUNTIF('サービス一覧'!$W$4:$W$200,L6)</x:f>
        <x:v>23</x:v>
      </x:c>
      <x:c r="N6" s="29"/>
    </x:row>
    <x:row r="7" ht="45" customHeight="1">
      <x:c r="A7" s="64" t="str">
        <x:v>2023基準の路線・エリア行</x:v>
      </x:c>
      <x:c r="B7" s="66" t="n">
        <x:f>COUNTA('路線一覧_2023'!$A$4:$A$250)</x:f>
        <x:v>194</x:v>
      </x:c>
      <x:c r="C7" s="29"/>
      <x:c r="D7" s="64" t="str">
        <x:v>除外条件</x:v>
      </x:c>
      <x:c r="E7" s="29" t="str">
        <x:v>運行事業者が東京都交通局のサービスは既定対象外。江東区「しおかぜ」は台帳には保持し除外フラグ。</x:v>
      </x:c>
      <x:c r="F7" s="29"/>
      <x:c r="G7" s="29"/>
      <x:c r="H7" s="29"/>
      <x:c r="I7" s="29" t="str">
        <x:v>ODPT利用登録・キー</x:v>
      </x:c>
      <x:c r="J7" s="29" t="n">
        <x:f>COUNTIF('GTFSカタログ'!$H$4:$H$100,I7)</x:f>
        <x:v>6</x:v>
      </x:c>
      <x:c r="K7" s="29"/>
      <x:c r="L7" s="80" t="str">
        <x:v>B</x:v>
      </x:c>
      <x:c r="M7" s="29" t="n">
        <x:f>COUNTIF('サービス一覧'!$W$4:$W$200,L7)</x:f>
        <x:v>25</x:v>
      </x:c>
      <x:c r="N7" s="29"/>
    </x:row>
    <x:row r="8" ht="45" customHeight="1">
      <x:c r="A8" s="64" t="str">
        <x:v>現行台帳サービス数</x:v>
      </x:c>
      <x:c r="B8" s="66" t="n">
        <x:f>COUNTA('サービス一覧'!$A$4:$A$200)</x:f>
        <x:v>74</x:v>
      </x:c>
      <x:c r="C8" s="29"/>
      <x:c r="D8" s="64" t="str">
        <x:v>現在地表示</x:v>
      </x:c>
      <x:c r="E8" s="29" t="str">
        <x:v>端末GPSはユーザーの現在地だけに使用。停留所・路線はGTFSの座標とshapeを使用。</x:v>
      </x:c>
      <x:c r="F8" s="29"/>
      <x:c r="G8" s="29"/>
      <x:c r="H8" s="29"/>
      <x:c r="I8" s="29" t="str">
        <x:v>PTD-HS利用条件確認</x:v>
      </x:c>
      <x:c r="J8" s="29" t="n">
        <x:f>COUNTIF('GTFSカタログ'!$H$4:$H$100,I8)</x:f>
        <x:v>1</x:v>
      </x:c>
      <x:c r="K8" s="29"/>
      <x:c r="L8" s="86" t="str">
        <x:v>C</x:v>
      </x:c>
      <x:c r="M8" s="29" t="n">
        <x:f>COUNTIF('サービス一覧'!$W$4:$W$200,L8)</x:f>
        <x:v>24</x:v>
      </x:c>
      <x:c r="N8" s="29"/>
    </x:row>
    <x:row r="9" ht="45" customHeight="1">
      <x:c r="A9" s="64" t="str">
        <x:v>2026追加サービス数</x:v>
      </x:c>
      <x:c r="B9" s="66" t="n">
        <x:f>COUNTIF('サービス一覧'!$G$4:$G$200,"2026追加")</x:f>
        <x:v>3</x:v>
      </x:c>
      <x:c r="C9" s="29"/>
      <x:c r="D9" s="64" t="str">
        <x:v>ライブ表示</x:v>
      </x:c>
      <x:c r="E9" s="29" t="str">
        <x:v>静的GTFSとGTFS-RTを別管理。公開エンドポイントと利用条件を確認できた路線だけ車両位置を表示。</x:v>
      </x:c>
      <x:c r="F9" s="29"/>
      <x:c r="G9" s="29"/>
      <x:c r="H9" s="29"/>
      <x:c r="I9" s="29" t="str">
        <x:v>その他/URLなし</x:v>
      </x:c>
      <x:c r="J9" s="29" t="n">
        <x:f>COUNTA('GTFSカタログ'!$A$4:$A$100)-SUM(J6:J8)</x:f>
        <x:v>0</x:v>
      </x:c>
      <x:c r="K9" s="29"/>
      <x:c r="L9" s="92" t="str">
        <x:v>D</x:v>
      </x:c>
      <x:c r="M9" s="29" t="n">
        <x:f>COUNTIF('サービス一覧'!$W$4:$W$200,L9)</x:f>
        <x:v>2</x:v>
      </x:c>
      <x:c r="N9" s="29"/>
    </x:row>
    <x:row r="10" ht="45" customHeight="1">
      <x:c r="A10" s="64" t="str">
        <x:v>有効なコア個別GTFS</x:v>
      </x:c>
      <x:c r="B10" s="66" t="n">
        <x:f>COUNTIF('GTFSカタログ'!$R$4:$R$100,"有効")+COUNTIF('GTFSカタログ'!$R$4:$R$100,"60日以内")-COUNTIFS('GTFSカタログ'!$B$4:$B$100,"拡張候補",'GTFSカタログ'!$R$4:$R$100,"有効")-COUNTIFS('GTFSカタログ'!$B$4:$B$100,"拡張候補",'GTFSカタログ'!$R$4:$R$100,"60日以内")</x:f>
        <x:v>30</x:v>
      </x:c>
      <x:c r="C10" s="29"/>
      <x:c r="D10" s="64" t="str">
        <x:v>更新原則</x:v>
      </x:c>
      <x:c r="E10" s="29" t="str">
        <x:v>フィード有効終了60日前から警告。毎日ハッシュ・ETag・feed_infoを確認し、前回成功版を保持。</x:v>
      </x:c>
      <x:c r="F10" s="29"/>
      <x:c r="G10" s="29"/>
      <x:c r="H10" s="29"/>
      <x:c r="I10" s="29"/>
      <x:c r="J10" s="29"/>
      <x:c r="K10" s="29"/>
      <x:c r="L10" s="29"/>
      <x:c r="M10" s="29"/>
      <x:c r="N10" s="29"/>
    </x:row>
    <x:row r="11">
      <x:c r="A11" s="64" t="str">
        <x:v>現行・公開・キー不要のコアGTFS</x:v>
      </x:c>
      <x:c r="B11" s="66" t="n">
        <x:f>COUNTIFS('GTFSカタログ'!$H$4:$H$100,"公開・キー不要",'GTFSカタログ'!$B$4:$B$100,"&lt;&gt;拡張候補",'GTFSカタログ'!$R$4:$R$100,"&lt;&gt;期限切れ")</x:f>
        <x:v>24</x:v>
      </x:c>
      <x:c r="C11" s="29"/>
      <x:c r="D11" s="29"/>
      <x:c r="E11" s="29"/>
      <x:c r="F11" s="29"/>
      <x:c r="G11" s="29"/>
      <x:c r="H11" s="29"/>
      <x:c r="I11" s="29"/>
      <x:c r="J11" s="29"/>
      <x:c r="K11" s="29"/>
      <x:c r="L11" s="29"/>
      <x:c r="M11" s="29"/>
      <x:c r="N11" s="29"/>
    </x:row>
    <x:row r="12">
      <x:c r="A12" s="64" t="str">
        <x:v>GTFS-RT確認フィード</x:v>
      </x:c>
      <x:c r="B12" s="66" t="n">
        <x:f>COUNTIF('GTFSカタログ'!$S$4:$S$100,"あり")</x:f>
        <x:v>2</x:v>
      </x:c>
      <x:c r="C12" s="29"/>
      <x:c r="D12" s="29"/>
      <x:c r="E12" s="29"/>
      <x:c r="F12" s="29"/>
      <x:c r="G12" s="29"/>
      <x:c r="H12" s="29"/>
      <x:c r="I12" s="29"/>
      <x:c r="J12" s="29"/>
      <x:c r="K12" s="29"/>
      <x:c r="L12" s="29"/>
      <x:c r="M12" s="29"/>
      <x:c r="N12" s="29"/>
    </x:row>
    <x:row r="13">
      <x:c r="A13" s="64" t="str">
        <x:v>都営バス除外サービス</x:v>
      </x:c>
      <x:c r="B13" s="66" t="n">
        <x:f>COUNTIF('サービス一覧'!$B$4:$B$200,"除外（都営バス）")</x:f>
        <x:v>1</x:v>
      </x:c>
      <x:c r="C13" s="29"/>
      <x:c r="D13" s="29"/>
      <x:c r="E13" s="29"/>
      <x:c r="F13" s="29"/>
      <x:c r="G13" s="29"/>
      <x:c r="H13" s="29"/>
      <x:c r="I13" s="29"/>
      <x:c r="J13" s="29"/>
      <x:c r="K13" s="29"/>
      <x:c r="L13" s="29"/>
      <x:c r="M13" s="29"/>
      <x:c r="N13" s="29"/>
    </x:row>
    <x:row r="14">
      <x:c r="A14" s="64" t="str">
        <x:v>MVP優先度Aサービス</x:v>
      </x:c>
      <x:c r="B14" s="66" t="n">
        <x:f>COUNTIF('サービス一覧'!$W$4:$W$200,"A")</x:f>
        <x:v>23</x:v>
      </x:c>
      <x:c r="C14" s="29"/>
      <x:c r="D14" s="29"/>
      <x:c r="E14" s="29"/>
      <x:c r="F14" s="29"/>
      <x:c r="G14" s="29"/>
      <x:c r="H14" s="29"/>
      <x:c r="I14" s="29"/>
      <x:c r="J14" s="29"/>
      <x:c r="K14" s="29"/>
      <x:c r="L14" s="29"/>
      <x:c r="M14" s="29"/>
      <x:c r="N14" s="29"/>
    </x:row>
    <x:row r="15">
      <x:c r="A15" s="29"/>
      <x:c r="B15" s="29"/>
      <x:c r="C15" s="29"/>
      <x:c r="D15" s="29"/>
      <x:c r="E15" s="29"/>
      <x:c r="F15" s="29"/>
      <x:c r="G15" s="29"/>
      <x:c r="H15" s="29"/>
      <x:c r="I15" s="29"/>
      <x:c r="J15" s="29"/>
      <x:c r="K15" s="29"/>
      <x:c r="L15" s="29"/>
      <x:c r="M15" s="29"/>
      <x:c r="N15" s="29"/>
    </x:row>
    <x:row r="16">
      <x:c r="A16" s="29"/>
      <x:c r="B16" s="29"/>
      <x:c r="C16" s="29"/>
      <x:c r="D16" s="29"/>
      <x:c r="E16" s="29"/>
      <x:c r="F16" s="29"/>
      <x:c r="G16" s="29"/>
      <x:c r="H16" s="29"/>
      <x:c r="I16" s="29"/>
      <x:c r="J16" s="29"/>
      <x:c r="K16" s="29"/>
      <x:c r="L16" s="29"/>
      <x:c r="M16" s="29"/>
      <x:c r="N16" s="29"/>
    </x:row>
    <x:row r="17">
      <x:c r="A17" s="36" t="str">
        <x:v>主要な現行差分</x:v>
      </x:c>
      <x:c r="B17" s="36"/>
      <x:c r="C17" s="36"/>
      <x:c r="D17" s="36"/>
      <x:c r="E17" s="36"/>
      <x:c r="F17" s="36"/>
      <x:c r="G17" s="36"/>
      <x:c r="H17" s="29"/>
      <x:c r="I17" s="36"/>
      <x:c r="J17" s="36"/>
      <x:c r="K17" s="36"/>
      <x:c r="L17" s="36"/>
      <x:c r="M17" s="36"/>
      <x:c r="N17" s="36"/>
    </x:row>
    <x:row r="18" ht="34" customHeight="1">
      <x:c r="A18" s="64" t="str">
        <x:v>Kバス</x:v>
      </x:c>
      <x:c r="B18" s="29" t="str">
        <x:v>王子・駒込、田端循環、浮間の3系統。浮間は2026-04-01に本格運行。</x:v>
      </x:c>
      <x:c r="C18" s="29"/>
      <x:c r="D18" s="29"/>
      <x:c r="E18" s="29"/>
      <x:c r="F18" s="29"/>
      <x:c r="G18" s="29"/>
      <x:c r="H18" s="29"/>
      <x:c r="I18" s="64"/>
      <x:c r="J18" s="29"/>
      <x:c r="K18" s="29"/>
      <x:c r="L18" s="29"/>
      <x:c r="M18" s="29"/>
      <x:c r="N18" s="29"/>
    </x:row>
    <x:row r="19" ht="34" customHeight="1">
      <x:c r="A19" s="64" t="str">
        <x:v>足立区はるかぜ</x:v>
      </x:c>
      <x:c r="B19" s="29" t="str">
        <x:v>2023基準12路線から現行9路線へ減少。廃止路線を除いた再データ化が必要。</x:v>
      </x:c>
      <x:c r="C19" s="29"/>
      <x:c r="D19" s="29"/>
      <x:c r="E19" s="29"/>
      <x:c r="F19" s="29"/>
      <x:c r="G19" s="29"/>
      <x:c r="H19" s="29"/>
      <x:c r="I19" s="64"/>
      <x:c r="J19" s="29"/>
      <x:c r="K19" s="29"/>
      <x:c r="L19" s="29"/>
      <x:c r="M19" s="29"/>
      <x:c r="N19" s="29"/>
    </x:row>
    <x:row r="20" ht="34" customHeight="1">
      <x:c r="A20" s="64" t="str">
        <x:v>iバス</x:v>
      </x:c>
      <x:c r="B20" s="29" t="str">
        <x:v>2026-04-01に5コースから3コースへ再編。公開個別GTFSは期限切れ。</x:v>
      </x:c>
      <x:c r="C20" s="29"/>
      <x:c r="D20" s="29"/>
      <x:c r="E20" s="29"/>
      <x:c r="F20" s="29"/>
      <x:c r="G20" s="29"/>
      <x:c r="H20" s="29"/>
      <x:c r="I20" s="64"/>
      <x:c r="J20" s="29"/>
      <x:c r="K20" s="29"/>
      <x:c r="L20" s="29"/>
      <x:c r="M20" s="29"/>
      <x:c r="N20" s="29"/>
    </x:row>
    <x:row r="21" ht="34" customHeight="1">
      <x:c r="A21" s="64" t="str">
        <x:v>新規追加</x:v>
      </x:c>
      <x:c r="B21" s="29" t="str">
        <x:v>目黒区さんまバス、杉並区グリーンスローモビリティ、瑞穂町チョイソコを追加。</x:v>
      </x:c>
      <x:c r="C21" s="29"/>
      <x:c r="D21" s="29"/>
      <x:c r="E21" s="29"/>
      <x:c r="F21" s="29"/>
      <x:c r="G21" s="29"/>
      <x:c r="H21" s="29"/>
      <x:c r="I21" s="64"/>
      <x:c r="J21" s="29"/>
      <x:c r="K21" s="29"/>
      <x:c r="L21" s="29"/>
      <x:c r="M21" s="29"/>
      <x:c r="N21" s="29"/>
    </x:row>
    <x:row r="22" ht="34" customHeight="1">
      <x:c r="A22" s="64" t="str">
        <x:v>リアルタイム</x:v>
      </x:c>
      <x:c r="B22" s="29" t="str">
        <x:v>公開GTFS-RTを確認したコアは、きよバスと杉並グリーンスローモビリティ。</x:v>
      </x:c>
      <x:c r="C22" s="29"/>
      <x:c r="D22" s="29"/>
      <x:c r="E22" s="29"/>
      <x:c r="F22" s="29"/>
      <x:c r="G22" s="29"/>
      <x:c r="H22" s="29"/>
      <x:c r="I22" s="64"/>
      <x:c r="J22" s="29"/>
      <x:c r="K22" s="29"/>
      <x:c r="L22" s="29"/>
      <x:c r="M22" s="29"/>
      <x:c r="N22" s="29"/>
    </x:row>
    <x:row r="23" ht="34" customHeight="1">
      <x:c r="A23" s="29"/>
      <x:c r="B23" s="29"/>
      <x:c r="C23" s="29"/>
      <x:c r="D23" s="29"/>
      <x:c r="E23" s="29"/>
      <x:c r="F23" s="29"/>
      <x:c r="G23" s="29"/>
      <x:c r="H23" s="29"/>
      <x:c r="I23" s="64"/>
      <x:c r="J23" s="29"/>
      <x:c r="K23" s="29"/>
      <x:c r="L23" s="29"/>
      <x:c r="M23" s="29"/>
      <x:c r="N23" s="29"/>
    </x:row>
    <x:row r="24">
      <x:c r="A24" s="29"/>
      <x:c r="B24" s="29"/>
      <x:c r="C24" s="29"/>
      <x:c r="D24" s="29"/>
      <x:c r="E24" s="29"/>
      <x:c r="F24" s="29"/>
      <x:c r="G24" s="29"/>
      <x:c r="H24" s="29"/>
      <x:c r="I24" s="29"/>
      <x:c r="J24" s="29"/>
      <x:c r="K24" s="29"/>
      <x:c r="L24" s="29"/>
      <x:c r="M24" s="29"/>
      <x:c r="N24" s="29"/>
    </x:row>
    <x:row r="25">
      <x:c r="A25" s="36" t="str">
        <x:v>主要ソース</x:v>
      </x:c>
      <x:c r="B25" s="36"/>
      <x:c r="C25" s="36"/>
      <x:c r="D25" s="36"/>
      <x:c r="E25" s="36"/>
      <x:c r="F25" s="36"/>
      <x:c r="G25" s="36"/>
      <x:c r="H25" s="29"/>
      <x:c r="I25" s="22" t="str">
        <x:v>最初の実装順</x:v>
      </x:c>
      <x:c r="J25" s="22"/>
      <x:c r="K25" s="22"/>
      <x:c r="L25" s="22"/>
      <x:c r="M25" s="22"/>
      <x:c r="N25" s="22"/>
    </x:row>
    <x:row r="26" ht="34" customHeight="1">
      <x:c r="A26" s="64" t="str">
        <x:v>東京都 基準一覧</x:v>
      </x:c>
      <x:c r="B26" s="34" t="str">
        <x:v>https://www.toshiseibi1.metro.tokyo.lg.jp/bunyabetsu/kotsu_butsuryu/index.html</x:v>
      </x:c>
      <x:c r="C26" s="34"/>
      <x:c r="D26" s="34"/>
      <x:c r="E26" s="34"/>
      <x:c r="F26" s="34"/>
      <x:c r="G26" s="34"/>
      <x:c r="H26" s="29"/>
      <x:c r="I26" s="64" t="str">
        <x:v>1</x:v>
      </x:c>
      <x:c r="J26" s="29" t="str">
        <x:v>Aランクの静的GTFSを一括取得し、validatorを通す</x:v>
      </x:c>
      <x:c r="K26" s="29"/>
      <x:c r="L26" s="29"/>
      <x:c r="M26" s="29"/>
      <x:c r="N26" s="29"/>
    </x:row>
    <x:row r="27" ht="34" customHeight="1">
      <x:c r="A27" s="64" t="str">
        <x:v>東京都 路線・エリアExcel</x:v>
      </x:c>
      <x:c r="B27" s="34" t="str">
        <x:v>https://www.toshiseibi1.metro.tokyo.lg.jp/bunyabetsu/kotsu_butsuryu/pdf/index_koutuu_01.xlsx</x:v>
      </x:c>
      <x:c r="C27" s="34"/>
      <x:c r="D27" s="34"/>
      <x:c r="E27" s="34"/>
      <x:c r="F27" s="34"/>
      <x:c r="G27" s="34"/>
      <x:c r="H27" s="29"/>
      <x:c r="I27" s="64" t="str">
        <x:v>2</x:v>
      </x:c>
      <x:c r="J27" s="29" t="str">
        <x:v>PostGISへstop/route/trip/calendar/shapeを正規化</x:v>
      </x:c>
      <x:c r="K27" s="29"/>
      <x:c r="L27" s="29"/>
      <x:c r="M27" s="29"/>
      <x:c r="N27" s="29"/>
    </x:row>
    <x:row r="28" ht="34" customHeight="1">
      <x:c r="A28" s="64" t="str">
        <x:v>東京都 自治体サイト・計画Excel</x:v>
      </x:c>
      <x:c r="B28" s="34" t="str">
        <x:v>https://www.toshiseibi1.metro.tokyo.lg.jp/bunyabetsu/kotsu_butsuryu/pdf/index_koutuu_02.xlsx</x:v>
      </x:c>
      <x:c r="C28" s="34"/>
      <x:c r="D28" s="34"/>
      <x:c r="E28" s="34"/>
      <x:c r="F28" s="34"/>
      <x:c r="G28" s="34"/>
      <x:c r="H28" s="29"/>
      <x:c r="I28" s="64" t="str">
        <x:v>3</x:v>
      </x:c>
      <x:c r="J28" s="29" t="str">
        <x:v>現在地から800m以内の停留所APIと地図レイヤーを実装</x:v>
      </x:c>
      <x:c r="K28" s="29"/>
      <x:c r="L28" s="29"/>
      <x:c r="M28" s="29"/>
      <x:c r="N28" s="29"/>
    </x:row>
    <x:row r="29" ht="34" customHeight="1">
      <x:c r="A29" s="64" t="str">
        <x:v>GTFSフィード調査カタログ</x:v>
      </x:c>
      <x:c r="B29" s="34" t="str">
        <x:v>https://bustime.jp/GtfsAgency/gtfs_list/</x:v>
      </x:c>
      <x:c r="C29" s="34"/>
      <x:c r="D29" s="34"/>
      <x:c r="E29" s="34"/>
      <x:c r="F29" s="34"/>
      <x:c r="G29" s="34"/>
      <x:c r="H29" s="29"/>
      <x:c r="I29" s="64" t="str">
        <x:v>4</x:v>
      </x:c>
      <x:c r="J29" s="29" t="str">
        <x:v>今日の運行便・次便表示を実装</x:v>
      </x:c>
      <x:c r="K29" s="29"/>
      <x:c r="L29" s="29"/>
      <x:c r="M29" s="29"/>
      <x:c r="N29" s="29"/>
    </x:row>
    <x:row r="30" ht="34" customHeight="1">
      <x:c r="A30" s="64" t="str">
        <x:v>国土交通省 GTFS-JP</x:v>
      </x:c>
      <x:c r="B30" s="34" t="str">
        <x:v>https://www.mlit.go.jp/sogoseisaku/transport/sosei_transport_tk_000112.html</x:v>
      </x:c>
      <x:c r="C30" s="34"/>
      <x:c r="D30" s="34"/>
      <x:c r="E30" s="34"/>
      <x:c r="F30" s="34"/>
      <x:c r="G30" s="34"/>
      <x:c r="H30" s="29"/>
      <x:c r="I30" s="64" t="str">
        <x:v>5</x:v>
      </x:c>
      <x:c r="J30" s="29" t="str">
        <x:v>きよバス／杉並グリスロでGTFS-RT車両位置を追加</x:v>
      </x:c>
      <x:c r="K30" s="29"/>
      <x:c r="L30" s="29"/>
      <x:c r="M30" s="29"/>
      <x:c r="N30" s="29"/>
    </x:row>
    <x:row r="31" ht="34" customHeight="1">
      <x:c r="A31" s="64" t="str">
        <x:v>ODPT 開発者サイト</x:v>
      </x:c>
      <x:c r="B31" s="34" t="str">
        <x:v>https://developer.odpt.org/</x:v>
      </x:c>
      <x:c r="C31" s="34"/>
      <x:c r="D31" s="34"/>
      <x:c r="E31" s="34"/>
      <x:c r="F31" s="34"/>
      <x:c r="G31" s="34"/>
      <x:c r="H31" s="29"/>
      <x:c r="I31" s="64" t="str">
        <x:v>6</x:v>
      </x:c>
      <x:c r="J31" s="29" t="str">
        <x:v>ODPT認証・包括GTFS・デマンド交通を順次拡張</x:v>
      </x:c>
      <x:c r="K31" s="29"/>
      <x:c r="L31" s="29"/>
      <x:c r="M31" s="29"/>
      <x:c r="N31" s="29"/>
    </x:row>
    <x:row r="32">
      <x:c r="A32" s="64" t="str">
        <x:v>GTFS Realtime リファレンス</x:v>
      </x:c>
      <x:c r="B32" s="34" t="str">
        <x:v>https://gtfs.org/documentation/realtime/reference/</x:v>
      </x:c>
      <x:c r="C32" s="34"/>
      <x:c r="D32" s="34"/>
      <x:c r="E32" s="34"/>
      <x:c r="F32" s="34"/>
      <x:c r="G32" s="34"/>
      <x:c r="H32" s="29"/>
      <x:c r="I32" s="29"/>
      <x:c r="J32" s="29"/>
      <x:c r="K32" s="29"/>
      <x:c r="L32" s="29"/>
      <x:c r="M32" s="29"/>
      <x:c r="N32" s="29"/>
    </x:row>
    <x:row r="33">
      <x:c r="A33" s="29"/>
      <x:c r="B33" s="29"/>
      <x:c r="C33" s="29"/>
      <x:c r="D33" s="29"/>
      <x:c r="E33" s="29"/>
      <x:c r="F33" s="29"/>
      <x:c r="G33" s="29"/>
      <x:c r="H33" s="29"/>
      <x:c r="I33" s="29"/>
      <x:c r="J33" s="29"/>
      <x:c r="K33" s="29"/>
      <x:c r="L33" s="29"/>
      <x:c r="M33" s="29"/>
      <x:c r="N33" s="29"/>
    </x:row>
  </x:sheetData>
  <x:mergeCells>
    <x:mergeCell ref="A1:N1"/>
    <x:mergeCell ref="A2:N2"/>
    <x:mergeCell ref="D5:G5"/>
    <x:mergeCell ref="E6:G6"/>
    <x:mergeCell ref="E7:G7"/>
    <x:mergeCell ref="E8:G8"/>
    <x:mergeCell ref="E9:G9"/>
    <x:mergeCell ref="E10:G10"/>
    <x:mergeCell ref="A17:G17"/>
    <x:mergeCell ref="B18:G18"/>
    <x:mergeCell ref="B19:G19"/>
    <x:mergeCell ref="B20:G20"/>
    <x:mergeCell ref="B21:G21"/>
    <x:mergeCell ref="B22:G22"/>
    <x:mergeCell ref="A25:G25"/>
    <x:mergeCell ref="B26:G26"/>
    <x:mergeCell ref="B27:G27"/>
    <x:mergeCell ref="B28:G28"/>
    <x:mergeCell ref="B29:G29"/>
    <x:mergeCell ref="B30:G30"/>
    <x:mergeCell ref="B31:G31"/>
    <x:mergeCell ref="B32:G32"/>
    <x:mergeCell ref="I25:N25"/>
    <x:mergeCell ref="J26:N26"/>
    <x:mergeCell ref="J27:N27"/>
    <x:mergeCell ref="J28:N28"/>
    <x:mergeCell ref="J29:N29"/>
    <x:mergeCell ref="J30:N30"/>
    <x:mergeCell ref="J31:N31"/>
  </x:mergeCells>
  <x:pageMargins left="0.7" right="0.7" top="0.75" bottom="0.75" header="0.3" footer="0.3"/>
  <x:drawing xmlns:r="http://schemas.openxmlformats.org/officeDocument/2006/relationships" r:id="R21998cb007b74f92"/>
</x:worksheet>
</file>

<file path=xl/worksheets/sheet2.xml><?xml version="1.0" encoding="utf-8"?>
<x:worksheet xmlns:x="http://schemas.openxmlformats.org/spreadsheetml/2006/main">
  <x:sheetFormatPr defaultRowHeight="15"/>
  <x:cols>
    <x:col min="1" max="1" width="10" hidden="0" customWidth="1"/>
    <x:col min="2" max="2" width="18" hidden="0" customWidth="1"/>
    <x:col min="3" max="3" width="11" hidden="0" customWidth="1"/>
    <x:col min="4" max="4" width="12" hidden="0" customWidth="1"/>
    <x:col min="5" max="5" width="28" hidden="0" customWidth="1"/>
    <x:col min="6" max="6" width="18" hidden="0" customWidth="1"/>
    <x:col min="7" max="7" width="11" hidden="0" customWidth="1"/>
    <x:col min="8" max="8" width="48" hidden="0" customWidth="1"/>
    <x:col min="9" max="9" width="30" hidden="0" customWidth="1"/>
    <x:col min="10" max="10" width="30" hidden="0" customWidth="1"/>
    <x:col min="11" max="11" width="24" hidden="0" customWidth="1"/>
    <x:col min="12" max="12" width="48" hidden="0" customWidth="1"/>
    <x:col min="13" max="13" width="24" hidden="0" customWidth="1"/>
    <x:col min="14" max="14" width="25" hidden="0" customWidth="1"/>
    <x:col min="15" max="15" width="44" hidden="0" customWidth="1"/>
    <x:col min="16" max="16" width="18" hidden="0" customWidth="1"/>
    <x:col min="17" max="17" width="12" hidden="0" customWidth="1"/>
    <x:col min="18" max="18" width="12" hidden="0" customWidth="1"/>
    <x:col min="19" max="19" width="15" hidden="0" customWidth="1"/>
    <x:col min="20" max="20" width="42" hidden="0" customWidth="1"/>
    <x:col min="21" max="21" width="42" hidden="0" customWidth="1"/>
    <x:col min="22" max="22" width="12" hidden="0" customWidth="1"/>
    <x:col min="23" max="23" width="10" hidden="0" customWidth="1"/>
    <x:col min="24" max="24" width="12" hidden="0" customWidth="1"/>
    <x:col min="25" max="25" width="24" hidden="0" customWidth="1"/>
  </x:cols>
  <x:sheetData>
    <x:row r="1" ht="30" customHeight="1">
      <x:c r="A1" s="5" t="str">
        <x:v>東京都内ローカル交通 サービス一覧</x:v>
      </x:c>
      <x:c r="B1" s="5"/>
      <x:c r="C1" s="5"/>
      <x:c r="D1" s="5"/>
      <x:c r="E1" s="5"/>
      <x:c r="F1" s="5"/>
      <x:c r="G1" s="5"/>
      <x:c r="H1" s="5"/>
      <x:c r="I1" s="5"/>
      <x:c r="J1" s="5"/>
      <x:c r="K1" s="5"/>
      <x:c r="L1" s="5"/>
      <x:c r="M1" s="5"/>
      <x:c r="N1" s="5"/>
      <x:c r="O1" s="5"/>
      <x:c r="P1" s="5"/>
      <x:c r="Q1" s="5"/>
      <x:c r="R1" s="5"/>
      <x:c r="S1" s="5"/>
      <x:c r="T1" s="5"/>
      <x:c r="U1" s="5"/>
      <x:c r="V1" s="5"/>
      <x:c r="W1" s="5"/>
      <x:c r="X1" s="5"/>
      <x:c r="Y1" s="5"/>
    </x:row>
    <x:row r="2" ht="22" customHeight="1">
      <x:c r="A2" s="13" t="str">
        <x:v>自治体コミュニティバス・地域公共交通（都営バスを除外判定）／確認基準日 2026-08-22</x:v>
      </x:c>
      <x:c r="B2" s="13"/>
      <x:c r="C2" s="13"/>
      <x:c r="D2" s="13"/>
      <x:c r="E2" s="13"/>
      <x:c r="F2" s="13"/>
      <x:c r="G2" s="13"/>
      <x:c r="H2" s="13"/>
      <x:c r="I2" s="13"/>
      <x:c r="J2" s="13"/>
      <x:c r="K2" s="13"/>
      <x:c r="L2" s="13"/>
      <x:c r="M2" s="13"/>
      <x:c r="N2" s="13"/>
      <x:c r="O2" s="13"/>
      <x:c r="P2" s="13"/>
      <x:c r="Q2" s="13"/>
      <x:c r="R2" s="13"/>
      <x:c r="S2" s="13"/>
      <x:c r="T2" s="13"/>
      <x:c r="U2" s="13"/>
      <x:c r="V2" s="13"/>
      <x:c r="W2" s="13"/>
      <x:c r="X2" s="13"/>
      <x:c r="Y2" s="13"/>
    </x:row>
    <x:row r="3" ht="36" customHeight="1">
      <x:c r="A3" s="36" t="str">
        <x:v>service_id</x:v>
      </x:c>
      <x:c r="B3" s="36" t="str">
        <x:v>対象判定</x:v>
      </x:c>
      <x:c r="C3" s="36" t="str">
        <x:v>地域区分</x:v>
      </x:c>
      <x:c r="D3" s="36" t="str">
        <x:v>自治体</x:v>
      </x:c>
      <x:c r="E3" s="36" t="str">
        <x:v>サービス名</x:v>
      </x:c>
      <x:c r="F3" s="36" t="str">
        <x:v>交通形態</x:v>
      </x:c>
      <x:c r="G3" s="36" t="str">
        <x:v>基準/追加</x:v>
      </x:c>
      <x:c r="H3" s="36" t="str">
        <x:v>路線・エリア</x:v>
      </x:c>
      <x:c r="I3" s="36" t="str">
        <x:v>運行事業者</x:v>
      </x:c>
      <x:c r="J3" s="36" t="str">
        <x:v>運賃</x:v>
      </x:c>
      <x:c r="K3" s="36" t="str">
        <x:v>現行確認</x:v>
      </x:c>
      <x:c r="L3" s="36" t="str">
        <x:v>2026補足</x:v>
      </x:c>
      <x:c r="M3" s="36" t="str">
        <x:v>GTFS状態</x:v>
      </x:c>
      <x:c r="N3" s="36" t="str">
        <x:v>取得方式</x:v>
      </x:c>
      <x:c r="O3" s="36" t="str">
        <x:v>GTFS URL</x:v>
      </x:c>
      <x:c r="P3" s="36" t="str">
        <x:v>ライセンス</x:v>
      </x:c>
      <x:c r="Q3" s="36" t="str">
        <x:v>GTFS最終更新</x:v>
      </x:c>
      <x:c r="R3" s="36" t="str">
        <x:v>有効終了</x:v>
      </x:c>
      <x:c r="S3" s="36" t="str">
        <x:v>GTFS-RT</x:v>
      </x:c>
      <x:c r="T3" s="36" t="str">
        <x:v>公式URL</x:v>
      </x:c>
      <x:c r="U3" s="36" t="str">
        <x:v>基準資料URL</x:v>
      </x:c>
      <x:c r="V3" s="36" t="str">
        <x:v>確認日</x:v>
      </x:c>
      <x:c r="W3" s="36" t="str">
        <x:v>MVP優先度</x:v>
      </x:c>
      <x:c r="X3" s="36" t="str">
        <x:v>Feed ID</x:v>
      </x:c>
      <x:c r="Y3" s="36" t="str">
        <x:v>備考</x:v>
      </x:c>
    </x:row>
    <x:row r="4" ht="60" customHeight="1">
      <x:c r="A4" s="29" t="str">
        <x:v>S001</x:v>
      </x:c>
      <x:c r="B4" s="29" t="str">
        <x:v>対象</x:v>
      </x:c>
      <x:c r="C4" s="29" t="str">
        <x:v>23区</x:v>
      </x:c>
      <x:c r="D4" s="29" t="str">
        <x:v>千代田区</x:v>
      </x:c>
      <x:c r="E4" s="29" t="str">
        <x:v>風ぐるま</x:v>
      </x:c>
      <x:c r="F4" s="29" t="str">
        <x:v>固定路線バス</x:v>
      </x:c>
      <x:c r="G4" s="29" t="str">
        <x:v>2023基準</x:v>
      </x:c>
      <x:c r="H4" s="29" t="str">
        <x:v>麹町ルート／秋葉原ルート／富士見・神保町ルート／内神田ルート</x:v>
      </x:c>
      <x:c r="I4" s="29" t="str">
        <x:v>日立自動車交通</x:v>
      </x:c>
      <x:c r="J4" s="29" t="str">
        <x:v>100円</x:v>
      </x:c>
      <x:c r="K4" s="29" t="str">
        <x:v>2023年12月基準・現行要確認</x:v>
      </x:c>
      <x:c r="L4" s="29" t="str"/>
      <x:c r="M4" s="29" t="str">
        <x:v>有効・静的</x:v>
      </x:c>
      <x:c r="N4" s="29" t="str">
        <x:v>公開・キー不要</x:v>
      </x:c>
      <x:c r="O4" s="34" t="str">
        <x:v>https://api-public.odpt.org/api/v4/files/odpt/HitachiAutomobileTransportation/Chiyoda_ALLLINES.zip?date=current</x:v>
      </x:c>
      <x:c r="P4" s="29" t="str">
        <x:v>CC BY 4.0</x:v>
      </x:c>
      <x:c r="Q4" s="32" t="n">
        <x:v>46182</x:v>
      </x:c>
      <x:c r="R4" s="32" t="n">
        <x:v>46752</x:v>
      </x:c>
      <x:c r="S4" s="29" t="str">
        <x:v>なし</x:v>
      </x:c>
      <x:c r="T4" s="34" t="str">
        <x:v>https://www.city.chiyoda.lg.jp/koho/kenko/koresha/gaishutsu/shin-kazaguruma/h28kaisei.html</x:v>
      </x:c>
      <x:c r="U4" s="34" t="str">
        <x:v>https://www.toshiseibi1.metro.tokyo.lg.jp/bunyabetsu/kotsu_butsuryu/pdf/index_koutuu_01.xlsx</x:v>
      </x:c>
      <x:c r="V4" s="32" t="n">
        <x:v>46256</x:v>
      </x:c>
      <x:c r="W4" s="29" t="str">
        <x:v>A</x:v>
      </x:c>
      <x:c r="X4" s="29" t="str">
        <x:v>F021</x:v>
      </x:c>
      <x:c r="Y4" s="29" t="str"/>
    </x:row>
    <x:row r="5" ht="60" customHeight="1">
      <x:c r="A5" s="29" t="str">
        <x:v>S002</x:v>
      </x:c>
      <x:c r="B5" s="29" t="str">
        <x:v>対象</x:v>
      </x:c>
      <x:c r="C5" s="29" t="str">
        <x:v>23区</x:v>
      </x:c>
      <x:c r="D5" s="29" t="str">
        <x:v>中央区</x:v>
      </x:c>
      <x:c r="E5" s="29" t="str">
        <x:v>江戸バス</x:v>
      </x:c>
      <x:c r="F5" s="29" t="str">
        <x:v>固定路線バス</x:v>
      </x:c>
      <x:c r="G5" s="29" t="str">
        <x:v>2023基準</x:v>
      </x:c>
      <x:c r="H5" s="29" t="str">
        <x:v>北循環／南循環</x:v>
      </x:c>
      <x:c r="I5" s="29" t="str">
        <x:v>日立自動車交通</x:v>
      </x:c>
      <x:c r="J5" s="29" t="str">
        <x:v>100円</x:v>
      </x:c>
      <x:c r="K5" s="29" t="str">
        <x:v>2023年12月基準・現行要確認</x:v>
      </x:c>
      <x:c r="L5" s="29" t="str"/>
      <x:c r="M5" s="29" t="str">
        <x:v>有効・静的</x:v>
      </x:c>
      <x:c r="N5" s="29" t="str">
        <x:v>ODPT利用登録・キー</x:v>
      </x:c>
      <x:c r="O5" s="34" t="str">
        <x:v>https://api.odpt.org/api/v4/files/odpt/TokyoChuoCity/Alldata.zip?acl%3AconsumerKey=&amp;date=current</x:v>
      </x:c>
      <x:c r="P5" s="29" t="str">
        <x:v>ODPT利用規約</x:v>
      </x:c>
      <x:c r="Q5" s="32" t="n">
        <x:v>46220</x:v>
      </x:c>
      <x:c r="R5" s="32" t="n">
        <x:v>46934</x:v>
      </x:c>
      <x:c r="S5" s="29" t="str">
        <x:v>なし</x:v>
      </x:c>
      <x:c r="T5" s="34" t="str">
        <x:v>https://www.city.chuo.lg.jp/kurashi/koutsuu/koukyoukoutsuu/edobasu/index.html</x:v>
      </x:c>
      <x:c r="U5" s="34" t="str">
        <x:v>https://www.toshiseibi1.metro.tokyo.lg.jp/bunyabetsu/kotsu_butsuryu/pdf/index_koutuu_01.xlsx</x:v>
      </x:c>
      <x:c r="V5" s="32" t="n">
        <x:v>46256</x:v>
      </x:c>
      <x:c r="W5" s="29" t="str">
        <x:v>B</x:v>
      </x:c>
      <x:c r="X5" s="29" t="str">
        <x:v>F004</x:v>
      </x:c>
      <x:c r="Y5" s="29" t="str"/>
    </x:row>
    <x:row r="6" ht="60" customHeight="1">
      <x:c r="A6" s="29" t="str">
        <x:v>S003</x:v>
      </x:c>
      <x:c r="B6" s="29" t="str">
        <x:v>対象</x:v>
      </x:c>
      <x:c r="C6" s="29" t="str">
        <x:v>23区</x:v>
      </x:c>
      <x:c r="D6" s="29" t="str">
        <x:v>港区</x:v>
      </x:c>
      <x:c r="E6" s="29" t="str">
        <x:v>ちぃばす</x:v>
      </x:c>
      <x:c r="F6" s="29" t="str">
        <x:v>固定路線バス</x:v>
      </x:c>
      <x:c r="G6" s="29" t="str">
        <x:v>2023基準</x:v>
      </x:c>
      <x:c r="H6" s="29" t="str">
        <x:v>田町ルート／赤坂ルート／芝ルート／麻布東ルート／麻布西ルート／青山ルート／高輪ルート／芝浦港南ルート</x:v>
      </x:c>
      <x:c r="I6" s="29" t="str">
        <x:v>フジエクスプレス</x:v>
      </x:c>
      <x:c r="J6" s="29" t="str">
        <x:v>100円</x:v>
      </x:c>
      <x:c r="K6" s="29" t="str">
        <x:v>2023年12月基準・現行要確認</x:v>
      </x:c>
      <x:c r="L6" s="29" t="str">
        <x:v>公開フィードのライセンス条件を確認してから本番利用。</x:v>
      </x:c>
      <x:c r="M6" s="29" t="str">
        <x:v>有効・静的</x:v>
      </x:c>
      <x:c r="N6" s="29" t="str">
        <x:v>公開・キー不要</x:v>
      </x:c>
      <x:c r="O6" s="34" t="str">
        <x:v>https://gtfs-jp.buskita.com/fxc/gtfs.zip</x:v>
      </x:c>
      <x:c r="P6" s="29" t="str">
        <x:v>要確認</x:v>
      </x:c>
      <x:c r="Q6" s="32" t="n">
        <x:v>46223</x:v>
      </x:c>
      <x:c r="R6" s="32" t="n">
        <x:v>46387</x:v>
      </x:c>
      <x:c r="S6" s="29" t="str">
        <x:v>なし</x:v>
      </x:c>
      <x:c r="T6" s="34" t="str">
        <x:v>https://www.city.minato.tokyo.jp/tiikikoututan/traffic_strategy.html</x:v>
      </x:c>
      <x:c r="U6" s="34" t="str">
        <x:v>https://www.toshiseibi1.metro.tokyo.lg.jp/bunyabetsu/kotsu_butsuryu/pdf/index_koutuu_01.xlsx</x:v>
      </x:c>
      <x:c r="V6" s="32" t="n">
        <x:v>46256</x:v>
      </x:c>
      <x:c r="W6" s="29" t="str">
        <x:v>B</x:v>
      </x:c>
      <x:c r="X6" s="29" t="str">
        <x:v>F002</x:v>
      </x:c>
      <x:c r="Y6" s="29" t="str"/>
    </x:row>
    <x:row r="7" ht="60" customHeight="1">
      <x:c r="A7" s="29" t="str">
        <x:v>S004</x:v>
      </x:c>
      <x:c r="B7" s="29" t="str">
        <x:v>対象</x:v>
      </x:c>
      <x:c r="C7" s="29" t="str">
        <x:v>23区</x:v>
      </x:c>
      <x:c r="D7" s="29" t="str">
        <x:v>新宿区</x:v>
      </x:c>
      <x:c r="E7" s="29" t="str">
        <x:v>新宿WEバス</x:v>
      </x:c>
      <x:c r="F7" s="29" t="str">
        <x:v>固定路線バス</x:v>
      </x:c>
      <x:c r="G7" s="29" t="str">
        <x:v>2023基準</x:v>
      </x:c>
      <x:c r="H7" s="29" t="str">
        <x:v>新宿御苑ルート／西ルート</x:v>
      </x:c>
      <x:c r="I7" s="29" t="str">
        <x:v>京王バス</x:v>
      </x:c>
      <x:c r="J7" s="29" t="str">
        <x:v>100円</x:v>
      </x:c>
      <x:c r="K7" s="29" t="str">
        <x:v>2023年12月基準・現行要確認</x:v>
      </x:c>
      <x:c r="L7" s="29" t="str">
        <x:v>事業者包括GTFSから対象route_idの確定が必要。</x:v>
      </x:c>
      <x:c r="M7" s="29" t="str">
        <x:v>事業者包括候補</x:v>
      </x:c>
      <x:c r="N7" s="29" t="str">
        <x:v>ODPT利用登録・キー</x:v>
      </x:c>
      <x:c r="O7" s="34" t="str">
        <x:v>https://api.odpt.org/api/v4/files/odpt/KeioBus/AllLines.zip?acl%3AconsumerKey=&amp;date=current</x:v>
      </x:c>
      <x:c r="P7" s="29" t="str">
        <x:v>ODPT利用規約</x:v>
      </x:c>
      <x:c r="Q7" s="32" t="n">
        <x:v>46243</x:v>
      </x:c>
      <x:c r="R7" s="32" t="n">
        <x:v>46387</x:v>
      </x:c>
      <x:c r="S7" s="29" t="str">
        <x:v>候補あり</x:v>
      </x:c>
      <x:c r="T7" s="34" t="str">
        <x:v>https://www.city.shinjuku.lg.jp/seikatsu/file17_06_00001.html</x:v>
      </x:c>
      <x:c r="U7" s="34" t="str">
        <x:v>https://www.toshiseibi1.metro.tokyo.lg.jp/bunyabetsu/kotsu_butsuryu/pdf/index_koutuu_01.xlsx</x:v>
      </x:c>
      <x:c r="V7" s="32" t="n">
        <x:v>46256</x:v>
      </x:c>
      <x:c r="W7" s="29" t="str">
        <x:v>B</x:v>
      </x:c>
      <x:c r="X7" s="29" t="str">
        <x:v>OP001</x:v>
      </x:c>
      <x:c r="Y7" s="29" t="str"/>
    </x:row>
    <x:row r="8" ht="60" customHeight="1">
      <x:c r="A8" s="29" t="str">
        <x:v>S005</x:v>
      </x:c>
      <x:c r="B8" s="29" t="str">
        <x:v>対象</x:v>
      </x:c>
      <x:c r="C8" s="29" t="str">
        <x:v>23区</x:v>
      </x:c>
      <x:c r="D8" s="29" t="str">
        <x:v>文京区</x:v>
      </x:c>
      <x:c r="E8" s="29" t="str">
        <x:v>B－ぐる</x:v>
      </x:c>
      <x:c r="F8" s="29" t="str">
        <x:v>固定路線バス</x:v>
      </x:c>
      <x:c r="G8" s="29" t="str">
        <x:v>2023基準</x:v>
      </x:c>
      <x:c r="H8" s="29" t="str">
        <x:v>千駄木・駒込ルート／目白台・小日向ルート／本郷・湯島ルート</x:v>
      </x:c>
      <x:c r="I8" s="29" t="str">
        <x:v>日立自動車交通</x:v>
      </x:c>
      <x:c r="J8" s="29" t="str">
        <x:v>100円</x:v>
      </x:c>
      <x:c r="K8" s="29" t="str">
        <x:v>2023年12月基準・現行要確認</x:v>
      </x:c>
      <x:c r="L8" s="29" t="str"/>
      <x:c r="M8" s="29" t="str">
        <x:v>有効・静的</x:v>
      </x:c>
      <x:c r="N8" s="29" t="str">
        <x:v>公開・キー不要</x:v>
      </x:c>
      <x:c r="O8" s="34" t="str">
        <x:v>https://api-public.odpt.org/api/v4/files/odpt/HitachiAutomobileTransportation/AllLines.zip?date=current</x:v>
      </x:c>
      <x:c r="P8" s="29" t="str">
        <x:v>CC BY 4.0</x:v>
      </x:c>
      <x:c r="Q8" s="32" t="n">
        <x:v>46113</x:v>
      </x:c>
      <x:c r="R8" s="32" t="n">
        <x:v>46752</x:v>
      </x:c>
      <x:c r="S8" s="29" t="str">
        <x:v>なし</x:v>
      </x:c>
      <x:c r="T8" s="34" t="str">
        <x:v>https://www.city.bunkyo.lg.jp/tetsuzuki/bus/b-guru.html</x:v>
      </x:c>
      <x:c r="U8" s="34" t="str">
        <x:v>https://www.toshiseibi1.metro.tokyo.lg.jp/bunyabetsu/kotsu_butsuryu/pdf/index_koutuu_01.xlsx</x:v>
      </x:c>
      <x:c r="V8" s="32" t="n">
        <x:v>46256</x:v>
      </x:c>
      <x:c r="W8" s="29" t="str">
        <x:v>A</x:v>
      </x:c>
      <x:c r="X8" s="29" t="str">
        <x:v>F003</x:v>
      </x:c>
      <x:c r="Y8" s="29" t="str"/>
    </x:row>
    <x:row r="9" ht="60" customHeight="1">
      <x:c r="A9" s="29" t="str">
        <x:v>S006</x:v>
      </x:c>
      <x:c r="B9" s="29" t="str">
        <x:v>対象</x:v>
      </x:c>
      <x:c r="C9" s="29" t="str">
        <x:v>23区</x:v>
      </x:c>
      <x:c r="D9" s="29" t="str">
        <x:v>台東区</x:v>
      </x:c>
      <x:c r="E9" s="29" t="str">
        <x:v>めぐりん</x:v>
      </x:c>
      <x:c r="F9" s="29" t="str">
        <x:v>固定路線バス</x:v>
      </x:c>
      <x:c r="G9" s="29" t="str">
        <x:v>2023基準</x:v>
      </x:c>
      <x:c r="H9" s="29" t="str">
        <x:v>北めぐりん（浅草回り）／北めぐりん（根岸回り）／南めぐりん／東西めぐりん／ぐるーりめぐりん</x:v>
      </x:c>
      <x:c r="I9" s="29" t="str">
        <x:v>日立自動車交通／京成バス</x:v>
      </x:c>
      <x:c r="J9" s="29" t="str">
        <x:v>100円</x:v>
      </x:c>
      <x:c r="K9" s="29" t="str">
        <x:v>2023年12月基準・現行要確認</x:v>
      </x:c>
      <x:c r="L9" s="29" t="str"/>
      <x:c r="M9" s="29" t="str">
        <x:v>有効・静的</x:v>
      </x:c>
      <x:c r="N9" s="29" t="str">
        <x:v>公開・キー不要</x:v>
      </x:c>
      <x:c r="O9" s="34" t="str">
        <x:v>https://api-public.odpt.org/api/v4/files/odpt/TokyoTaitoCity/megurinCCBY40.zip?date=current</x:v>
      </x:c>
      <x:c r="P9" s="29" t="str">
        <x:v>CC BY 4.0</x:v>
      </x:c>
      <x:c r="Q9" s="32" t="n">
        <x:v>45896</x:v>
      </x:c>
      <x:c r="R9" s="32" t="n">
        <x:v>46387</x:v>
      </x:c>
      <x:c r="S9" s="29" t="str">
        <x:v>なし</x:v>
      </x:c>
      <x:c r="T9" s="34" t="str">
        <x:v>https://www.city.taito.lg.jp/kenchiku/kotsu/megurin/index.html</x:v>
      </x:c>
      <x:c r="U9" s="34" t="str">
        <x:v>https://www.toshiseibi1.metro.tokyo.lg.jp/bunyabetsu/kotsu_butsuryu/pdf/index_koutuu_01.xlsx</x:v>
      </x:c>
      <x:c r="V9" s="32" t="n">
        <x:v>46256</x:v>
      </x:c>
      <x:c r="W9" s="29" t="str">
        <x:v>A</x:v>
      </x:c>
      <x:c r="X9" s="29" t="str">
        <x:v>F022</x:v>
      </x:c>
      <x:c r="Y9" s="29" t="str"/>
    </x:row>
    <x:row r="10" ht="60" customHeight="1">
      <x:c r="A10" s="29" t="str">
        <x:v>S007</x:v>
      </x:c>
      <x:c r="B10" s="29" t="str">
        <x:v>対象</x:v>
      </x:c>
      <x:c r="C10" s="29" t="str">
        <x:v>23区</x:v>
      </x:c>
      <x:c r="D10" s="29" t="str">
        <x:v>墨田区</x:v>
      </x:c>
      <x:c r="E10" s="29" t="str">
        <x:v>墨田区内循環バス「すみだ百景 すみまるくん・すみりんちゃん」</x:v>
      </x:c>
      <x:c r="F10" s="29" t="str">
        <x:v>固定路線バス</x:v>
      </x:c>
      <x:c r="G10" s="29" t="str">
        <x:v>2023基準</x:v>
      </x:c>
      <x:c r="H10" s="29" t="str">
        <x:v>北西部ルート／北東部ルート／南部ルート</x:v>
      </x:c>
      <x:c r="I10" s="29" t="str">
        <x:v>京成バス</x:v>
      </x:c>
      <x:c r="J10" s="29" t="str">
        <x:v>100円</x:v>
      </x:c>
      <x:c r="K10" s="29" t="str">
        <x:v>2023年12月基準・現行要確認</x:v>
      </x:c>
      <x:c r="L10" s="29" t="str"/>
      <x:c r="M10" s="29" t="str">
        <x:v>未確認／公開なし</x:v>
      </x:c>
      <x:c r="N10" s="29" t="str"/>
      <x:c r="O10" s="34" t="str"/>
      <x:c r="P10" s="29" t="str"/>
      <x:c r="Q10" s="32"/>
      <x:c r="R10" s="32"/>
      <x:c r="S10" s="29" t="str">
        <x:v>なし／未確認</x:v>
      </x:c>
      <x:c r="T10" s="34" t="str">
        <x:v>https://www.city.sumida.lg.jp/kurashi/jyunkanbus/index.html</x:v>
      </x:c>
      <x:c r="U10" s="34" t="str">
        <x:v>https://www.toshiseibi1.metro.tokyo.lg.jp/bunyabetsu/kotsu_butsuryu/pdf/index_koutuu_01.xlsx</x:v>
      </x:c>
      <x:c r="V10" s="32" t="n">
        <x:v>46256</x:v>
      </x:c>
      <x:c r="W10" s="29" t="str">
        <x:v>C</x:v>
      </x:c>
      <x:c r="X10" s="29" t="str"/>
      <x:c r="Y10" s="29" t="str"/>
    </x:row>
    <x:row r="11" ht="60" customHeight="1">
      <x:c r="A11" s="29" t="str">
        <x:v>S008</x:v>
      </x:c>
      <x:c r="B11" s="29" t="str">
        <x:v>除外（都営バス）</x:v>
      </x:c>
      <x:c r="C11" s="29" t="str">
        <x:v>23区</x:v>
      </x:c>
      <x:c r="D11" s="29" t="str">
        <x:v>江東区</x:v>
      </x:c>
      <x:c r="E11" s="29" t="str">
        <x:v>しおかぜ</x:v>
      </x:c>
      <x:c r="F11" s="29" t="str">
        <x:v>固定路線バス</x:v>
      </x:c>
      <x:c r="G11" s="29" t="str">
        <x:v>2023基準</x:v>
      </x:c>
      <x:c r="H11" s="29" t="str">
        <x:v>木場ルート⇔潮見駅⇔辰巳ルート（循環）</x:v>
      </x:c>
      <x:c r="I11" s="29" t="str">
        <x:v>東京都交通局</x:v>
      </x:c>
      <x:c r="J11" s="29" t="str">
        <x:v>100円</x:v>
      </x:c>
      <x:c r="K11" s="29" t="str">
        <x:v>運行情報要確認／対象外</x:v>
      </x:c>
      <x:c r="L11" s="29" t="str">
        <x:v>運行事業者が東京都交通局。今回の「都バスでない」条件から除外。</x:v>
      </x:c>
      <x:c r="M11" s="29" t="str">
        <x:v>未確認／公開なし</x:v>
      </x:c>
      <x:c r="N11" s="29" t="str"/>
      <x:c r="O11" s="34" t="str"/>
      <x:c r="P11" s="29" t="str"/>
      <x:c r="Q11" s="32"/>
      <x:c r="R11" s="32"/>
      <x:c r="S11" s="29" t="str">
        <x:v>なし／未確認</x:v>
      </x:c>
      <x:c r="T11" s="34" t="str">
        <x:v>https://www.city.koto.lg.jp/470801/kurashi/kotsu/kokyo/13116.html</x:v>
      </x:c>
      <x:c r="U11" s="34" t="str">
        <x:v>https://www.toshiseibi1.metro.tokyo.lg.jp/bunyabetsu/kotsu_butsuryu/pdf/index_koutuu_01.xlsx</x:v>
      </x:c>
      <x:c r="V11" s="32" t="n">
        <x:v>46256</x:v>
      </x:c>
      <x:c r="W11" s="29" t="str">
        <x:v>D</x:v>
      </x:c>
      <x:c r="X11" s="29" t="str"/>
      <x:c r="Y11" s="29" t="str"/>
    </x:row>
    <x:row r="12" ht="60" customHeight="1">
      <x:c r="A12" s="29" t="str">
        <x:v>S009</x:v>
      </x:c>
      <x:c r="B12" s="29" t="str">
        <x:v>対象</x:v>
      </x:c>
      <x:c r="C12" s="29" t="str">
        <x:v>23区</x:v>
      </x:c>
      <x:c r="D12" s="29" t="str">
        <x:v>品川区</x:v>
      </x:c>
      <x:c r="E12" s="29" t="str">
        <x:v>しなバス</x:v>
      </x:c>
      <x:c r="F12" s="29" t="str">
        <x:v>固定路線バス</x:v>
      </x:c>
      <x:c r="G12" s="29" t="str">
        <x:v>2023基準</x:v>
      </x:c>
      <x:c r="H12" s="29" t="str">
        <x:v>大井ルート</x:v>
      </x:c>
      <x:c r="I12" s="29" t="str">
        <x:v>東急バス</x:v>
      </x:c>
      <x:c r="J12" s="29" t="str">
        <x:v>220円</x:v>
      </x:c>
      <x:c r="K12" s="29" t="str">
        <x:v>2023年12月基準・現行要確認</x:v>
      </x:c>
      <x:c r="L12" s="29" t="str"/>
      <x:c r="M12" s="29" t="str">
        <x:v>有効期限間近</x:v>
      </x:c>
      <x:c r="N12" s="29" t="str">
        <x:v>ODPT利用登録・キー</x:v>
      </x:c>
      <x:c r="O12" s="34" t="str">
        <x:v>https://api.odpt.org/api/v4/files/odpt/TokyuBus/tokyubus_community_ShinagawaCity.zip?acl%3AconsumerKey=&amp;date=current</x:v>
      </x:c>
      <x:c r="P12" s="29" t="str">
        <x:v>ODPT利用規約</x:v>
      </x:c>
      <x:c r="Q12" s="32" t="n">
        <x:v>46170</x:v>
      </x:c>
      <x:c r="R12" s="32" t="n">
        <x:v>46295</x:v>
      </x:c>
      <x:c r="S12" s="29" t="str">
        <x:v>なし</x:v>
      </x:c>
      <x:c r="T12" s="34" t="str">
        <x:v>https://www.city.shinagawa.tokyo.jp/PC/kankyo/kankyo-toshiseibi/20211220205530.html</x:v>
      </x:c>
      <x:c r="U12" s="34" t="str">
        <x:v>https://www.toshiseibi1.metro.tokyo.lg.jp/bunyabetsu/kotsu_butsuryu/pdf/index_koutuu_01.xlsx</x:v>
      </x:c>
      <x:c r="V12" s="32" t="n">
        <x:v>46256</x:v>
      </x:c>
      <x:c r="W12" s="29" t="str">
        <x:v>B</x:v>
      </x:c>
      <x:c r="X12" s="29" t="str">
        <x:v>F006</x:v>
      </x:c>
      <x:c r="Y12" s="29" t="str"/>
    </x:row>
    <x:row r="13" ht="60" customHeight="1">
      <x:c r="A13" s="29" t="str">
        <x:v>S010</x:v>
      </x:c>
      <x:c r="B13" s="29" t="str">
        <x:v>対象</x:v>
      </x:c>
      <x:c r="C13" s="29" t="str">
        <x:v>23区</x:v>
      </x:c>
      <x:c r="D13" s="29" t="str">
        <x:v>大田区</x:v>
      </x:c>
      <x:c r="E13" s="29" t="str">
        <x:v>たまちゃんバス</x:v>
      </x:c>
      <x:c r="F13" s="29" t="str">
        <x:v>固定路線バス</x:v>
      </x:c>
      <x:c r="G13" s="29" t="str">
        <x:v>2023基準</x:v>
      </x:c>
      <x:c r="H13" s="29" t="str">
        <x:v>下丸子循環線</x:v>
      </x:c>
      <x:c r="I13" s="29" t="str">
        <x:v>東急バス</x:v>
      </x:c>
      <x:c r="J13" s="29" t="str">
        <x:v>大人160円 小児80円</x:v>
      </x:c>
      <x:c r="K13" s="29" t="str">
        <x:v>2023年12月基準・現行要確認</x:v>
      </x:c>
      <x:c r="L13" s="29" t="str"/>
      <x:c r="M13" s="29" t="str">
        <x:v>有効期限間近</x:v>
      </x:c>
      <x:c r="N13" s="29" t="str">
        <x:v>ODPT利用登録・キー</x:v>
      </x:c>
      <x:c r="O13" s="34" t="str">
        <x:v>https://api.odpt.org/api/v4/files/odpt/TokyuBus/tokyubus_community_OtaCity.zip?acl%3AconsumerKey=&amp;date=current</x:v>
      </x:c>
      <x:c r="P13" s="29" t="str">
        <x:v>ODPT利用規約</x:v>
      </x:c>
      <x:c r="Q13" s="32" t="n">
        <x:v>46170</x:v>
      </x:c>
      <x:c r="R13" s="32" t="n">
        <x:v>46295</x:v>
      </x:c>
      <x:c r="S13" s="29" t="str">
        <x:v>なし</x:v>
      </x:c>
      <x:c r="T13" s="34" t="str">
        <x:v>https://www.city.ota.tokyo.jp/seikatsu/sumaimachinami/koutsu/communitybusdounyu/communitybusyaguti/communitybus_chiiki_yaguchi.html</x:v>
      </x:c>
      <x:c r="U13" s="34" t="str">
        <x:v>https://www.toshiseibi1.metro.tokyo.lg.jp/bunyabetsu/kotsu_butsuryu/pdf/index_koutuu_01.xlsx</x:v>
      </x:c>
      <x:c r="V13" s="32" t="n">
        <x:v>46256</x:v>
      </x:c>
      <x:c r="W13" s="29" t="str">
        <x:v>B</x:v>
      </x:c>
      <x:c r="X13" s="29" t="str">
        <x:v>F007</x:v>
      </x:c>
      <x:c r="Y13" s="29" t="str"/>
    </x:row>
    <x:row r="14" ht="60" customHeight="1">
      <x:c r="A14" s="29" t="str">
        <x:v>S011</x:v>
      </x:c>
      <x:c r="B14" s="29" t="str">
        <x:v>対象</x:v>
      </x:c>
      <x:c r="C14" s="29" t="str">
        <x:v>23区</x:v>
      </x:c>
      <x:c r="D14" s="29" t="str">
        <x:v>世田谷区</x:v>
      </x:c>
      <x:c r="E14" s="29" t="str">
        <x:v>砧・大蔵地区予約制乗合ワゴン実証運行</x:v>
      </x:c>
      <x:c r="F14" s="29" t="str">
        <x:v>乗合タクシー・ワゴン</x:v>
      </x:c>
      <x:c r="G14" s="29" t="str">
        <x:v>2023基準</x:v>
      </x:c>
      <x:c r="H14" s="29" t="str">
        <x:v>砧・大蔵地区</x:v>
      </x:c>
      <x:c r="I14" s="29" t="str">
        <x:v>東急バス</x:v>
      </x:c>
      <x:c r="J14" s="29" t="str">
        <x:v>大人300円 小児150円 未就学児無料 70歳以上100円（乗車割引証の提示必要）</x:v>
      </x:c>
      <x:c r="K14" s="29" t="str">
        <x:v>2023年12月基準・現行要確認</x:v>
      </x:c>
      <x:c r="L14" s="29" t="str"/>
      <x:c r="M14" s="29" t="str">
        <x:v>未確認／公開なし</x:v>
      </x:c>
      <x:c r="N14" s="29" t="str"/>
      <x:c r="O14" s="34" t="str"/>
      <x:c r="P14" s="29" t="str"/>
      <x:c r="Q14" s="32"/>
      <x:c r="R14" s="32"/>
      <x:c r="S14" s="29" t="str">
        <x:v>なし／未確認</x:v>
      </x:c>
      <x:c r="T14" s="34" t="str">
        <x:v>https://www.city.setagaya.lg.jp/mokuji/sumai/007/001/index.html</x:v>
      </x:c>
      <x:c r="U14" s="34" t="str">
        <x:v>https://www.toshiseibi1.metro.tokyo.lg.jp/bunyabetsu/kotsu_butsuryu/pdf/index_koutuu_01.xlsx</x:v>
      </x:c>
      <x:c r="V14" s="32" t="n">
        <x:v>46256</x:v>
      </x:c>
      <x:c r="W14" s="29" t="str">
        <x:v>C</x:v>
      </x:c>
      <x:c r="X14" s="29" t="str"/>
      <x:c r="Y14" s="29" t="str"/>
    </x:row>
    <x:row r="15" ht="60" customHeight="1">
      <x:c r="A15" s="29" t="str">
        <x:v>S012</x:v>
      </x:c>
      <x:c r="B15" s="29" t="str">
        <x:v>対象</x:v>
      </x:c>
      <x:c r="C15" s="29" t="str">
        <x:v>23区</x:v>
      </x:c>
      <x:c r="D15" s="29" t="str">
        <x:v>渋谷区</x:v>
      </x:c>
      <x:c r="E15" s="29" t="str">
        <x:v>ハチ公バス</x:v>
      </x:c>
      <x:c r="F15" s="29" t="str">
        <x:v>固定路線バス</x:v>
      </x:c>
      <x:c r="G15" s="29" t="str">
        <x:v>2023基準</x:v>
      </x:c>
      <x:c r="H15" s="29" t="str">
        <x:v>「夕やけこやけルート」 （恵比寿・代官山ルート）／「春の小川ルート」 （本町・笹塚ルート）／「神宮の杜ルート」 （神宮前・千駄ヶ谷ルート）／「丘を越えてルート」 （上原・富ヶ谷ルート）</x:v>
      </x:c>
      <x:c r="I15" s="29" t="str">
        <x:v>東急バス／京王バス</x:v>
      </x:c>
      <x:c r="J15" s="29" t="str">
        <x:v>小学生以上一律100円</x:v>
      </x:c>
      <x:c r="K15" s="29" t="str">
        <x:v>2023年12月基準・現行要確認</x:v>
      </x:c>
      <x:c r="L15" s="29" t="str">
        <x:v>運行事業者の包括GTFS候補：京王バス。</x:v>
      </x:c>
      <x:c r="M15" s="29" t="str">
        <x:v>有効・静的</x:v>
      </x:c>
      <x:c r="N15" s="29" t="str">
        <x:v>公開・キー不要</x:v>
      </x:c>
      <x:c r="O15" s="34" t="str">
        <x:v>https://www.arcgis.com/sharing/rest/content/items/185d0dbc980443b8b60e135349e2ae5e/data</x:v>
      </x:c>
      <x:c r="P15" s="29" t="str">
        <x:v>CC BY 4.0</x:v>
      </x:c>
      <x:c r="Q15" s="32" t="n">
        <x:v>45462</x:v>
      </x:c>
      <x:c r="R15" s="32" t="n">
        <x:v>47573</x:v>
      </x:c>
      <x:c r="S15" s="29" t="str">
        <x:v>なし</x:v>
      </x:c>
      <x:c r="T15" s="34" t="str">
        <x:v>https://www.city.shibuya.tokyo.jp/kurashi/kotsu/hachiko_bus/index.html?=20170605yokumi</x:v>
      </x:c>
      <x:c r="U15" s="34" t="str">
        <x:v>https://www.toshiseibi1.metro.tokyo.lg.jp/bunyabetsu/kotsu_butsuryu/pdf/index_koutuu_01.xlsx</x:v>
      </x:c>
      <x:c r="V15" s="32" t="n">
        <x:v>46256</x:v>
      </x:c>
      <x:c r="W15" s="29" t="str">
        <x:v>A</x:v>
      </x:c>
      <x:c r="X15" s="29" t="str">
        <x:v>F001</x:v>
      </x:c>
      <x:c r="Y15" s="29" t="str"/>
    </x:row>
    <x:row r="16" ht="60" customHeight="1">
      <x:c r="A16" s="29" t="str">
        <x:v>S013</x:v>
      </x:c>
      <x:c r="B16" s="29" t="str">
        <x:v>対象</x:v>
      </x:c>
      <x:c r="C16" s="29" t="str">
        <x:v>23区</x:v>
      </x:c>
      <x:c r="D16" s="29" t="str">
        <x:v>中野区</x:v>
      </x:c>
      <x:c r="E16" s="29" t="str">
        <x:v>中野区実証運行</x:v>
      </x:c>
      <x:c r="F16" s="29" t="str">
        <x:v>固定路線バス</x:v>
      </x:c>
      <x:c r="G16" s="29" t="str">
        <x:v>2023基準</x:v>
      </x:c>
      <x:c r="H16" s="29" t="str">
        <x:v>K05、K06</x:v>
      </x:c>
      <x:c r="I16" s="29" t="str">
        <x:v>関東バス</x:v>
      </x:c>
      <x:c r="J16" s="29" t="str">
        <x:v>大人200円 小人100円 関東バスの定期券・一日乗車券の利用可 70歳以上100円（高齢者割引証の提示必要）</x:v>
      </x:c>
      <x:c r="K16" s="29" t="str">
        <x:v>2023年12月基準・現行要確認</x:v>
      </x:c>
      <x:c r="L16" s="29" t="str">
        <x:v>事業者包括GTFSから対象route_idの確定が必要。</x:v>
      </x:c>
      <x:c r="M16" s="29" t="str">
        <x:v>事業者包括候補</x:v>
      </x:c>
      <x:c r="N16" s="29" t="str">
        <x:v>ODPT利用登録・キー</x:v>
      </x:c>
      <x:c r="O16" s="34" t="str">
        <x:v>https://api.odpt.org/api/v4/files/odpt/KantoBus/AllLines.zip?acl%3AconsumerKey=&amp;date=current</x:v>
      </x:c>
      <x:c r="P16" s="29" t="str">
        <x:v>ODPT利用規約</x:v>
      </x:c>
      <x:c r="Q16" s="32" t="n">
        <x:v>46210</x:v>
      </x:c>
      <x:c r="R16" s="32" t="n">
        <x:v>46229</x:v>
      </x:c>
      <x:c r="S16" s="29" t="str">
        <x:v>候補あり</x:v>
      </x:c>
      <x:c r="T16" s="34" t="str">
        <x:v>https://www.city.tokyo-nakano.lg.jp/machizukuri/koutsu/kokyokotsu-jikken/kokyokotsu-jikken.html</x:v>
      </x:c>
      <x:c r="U16" s="34" t="str">
        <x:v>https://www.toshiseibi1.metro.tokyo.lg.jp/bunyabetsu/kotsu_butsuryu/pdf/index_koutuu_01.xlsx</x:v>
      </x:c>
      <x:c r="V16" s="32" t="n">
        <x:v>46256</x:v>
      </x:c>
      <x:c r="W16" s="29" t="str">
        <x:v>B</x:v>
      </x:c>
      <x:c r="X16" s="29" t="str">
        <x:v>OP003</x:v>
      </x:c>
      <x:c r="Y16" s="29" t="str"/>
    </x:row>
    <x:row r="17" ht="60" customHeight="1">
      <x:c r="A17" s="29" t="str">
        <x:v>S014</x:v>
      </x:c>
      <x:c r="B17" s="29" t="str">
        <x:v>対象</x:v>
      </x:c>
      <x:c r="C17" s="29" t="str">
        <x:v>23区</x:v>
      </x:c>
      <x:c r="D17" s="29" t="str">
        <x:v>杉並区</x:v>
      </x:c>
      <x:c r="E17" s="29" t="str">
        <x:v>すぎ丸</x:v>
      </x:c>
      <x:c r="F17" s="29" t="str">
        <x:v>固定路線バス</x:v>
      </x:c>
      <x:c r="G17" s="29" t="str">
        <x:v>2023基準</x:v>
      </x:c>
      <x:c r="H17" s="29" t="str">
        <x:v>けやき路線／さくら路線／かえで路線</x:v>
      </x:c>
      <x:c r="I17" s="29" t="str">
        <x:v>京王バス／関東バス</x:v>
      </x:c>
      <x:c r="J17" s="29" t="str">
        <x:v>100円 未就学児無料</x:v>
      </x:c>
      <x:c r="K17" s="29" t="str">
        <x:v>2023年12月基準・現行要確認</x:v>
      </x:c>
      <x:c r="L17" s="29" t="str">
        <x:v>事業者包括GTFSから対象route_idの確定が必要。</x:v>
      </x:c>
      <x:c r="M17" s="29" t="str">
        <x:v>事業者包括候補</x:v>
      </x:c>
      <x:c r="N17" s="29" t="str">
        <x:v>ODPT利用登録・キー／ODPT利用登録・キー</x:v>
      </x:c>
      <x:c r="O17" s="34" t="str">
        <x:v>https://api.odpt.org/api/v4/files/odpt/KeioBus/AllLines.zip?acl%3AconsumerKey=&amp;date=current／https://api.odpt.org/api/v4/files/odpt/KantoBus/AllLines.zip?acl%3AconsumerKey=&amp;date=current</x:v>
      </x:c>
      <x:c r="P17" s="29" t="str">
        <x:v>ODPT利用規約</x:v>
      </x:c>
      <x:c r="Q17" s="32" t="n">
        <x:v>46243</x:v>
      </x:c>
      <x:c r="R17" s="32" t="n">
        <x:v>46229</x:v>
      </x:c>
      <x:c r="S17" s="29" t="str">
        <x:v>候補あり</x:v>
      </x:c>
      <x:c r="T17" s="34" t="str">
        <x:v>https://www.city.suginami.tokyo.jp/guide/machi/bus/index.html</x:v>
      </x:c>
      <x:c r="U17" s="34" t="str">
        <x:v>https://www.toshiseibi1.metro.tokyo.lg.jp/bunyabetsu/kotsu_butsuryu/pdf/index_koutuu_01.xlsx</x:v>
      </x:c>
      <x:c r="V17" s="32" t="n">
        <x:v>46256</x:v>
      </x:c>
      <x:c r="W17" s="29" t="str">
        <x:v>B</x:v>
      </x:c>
      <x:c r="X17" s="29" t="str">
        <x:v>OP001／OP003</x:v>
      </x:c>
      <x:c r="Y17" s="29" t="str"/>
    </x:row>
    <x:row r="18" ht="60" customHeight="1">
      <x:c r="A18" s="29" t="str">
        <x:v>S015</x:v>
      </x:c>
      <x:c r="B18" s="29" t="str">
        <x:v>対象</x:v>
      </x:c>
      <x:c r="C18" s="29" t="str">
        <x:v>23区</x:v>
      </x:c>
      <x:c r="D18" s="29" t="str">
        <x:v>豊島区</x:v>
      </x:c>
      <x:c r="E18" s="29" t="str">
        <x:v>地域公共バス</x:v>
      </x:c>
      <x:c r="F18" s="29" t="str">
        <x:v>固定路線バス</x:v>
      </x:c>
      <x:c r="G18" s="29" t="str">
        <x:v>2023基準</x:v>
      </x:c>
      <x:c r="H18" s="29" t="str">
        <x:v>池07系統</x:v>
      </x:c>
      <x:c r="I18" s="29" t="str">
        <x:v>国際興業</x:v>
      </x:c>
      <x:c r="J18" s="29" t="str">
        <x:v>大人220円 小人110円</x:v>
      </x:c>
      <x:c r="K18" s="29" t="str">
        <x:v>2023年12月基準・現行要確認</x:v>
      </x:c>
      <x:c r="L18" s="29" t="str"/>
      <x:c r="M18" s="29" t="str">
        <x:v>未確認／公開なし</x:v>
      </x:c>
      <x:c r="N18" s="29" t="str"/>
      <x:c r="O18" s="34" t="str"/>
      <x:c r="P18" s="29" t="str"/>
      <x:c r="Q18" s="32"/>
      <x:c r="R18" s="32"/>
      <x:c r="S18" s="29" t="str">
        <x:v>なし／未確認</x:v>
      </x:c>
      <x:c r="T18" s="34" t="str">
        <x:v>https://www.city.toshima.lg.jp/machizukuri/kotsu/2203081526.html</x:v>
      </x:c>
      <x:c r="U18" s="34" t="str">
        <x:v>https://www.toshiseibi1.metro.tokyo.lg.jp/bunyabetsu/kotsu_butsuryu/pdf/index_koutuu_01.xlsx</x:v>
      </x:c>
      <x:c r="V18" s="32" t="n">
        <x:v>46256</x:v>
      </x:c>
      <x:c r="W18" s="29" t="str">
        <x:v>C</x:v>
      </x:c>
      <x:c r="X18" s="29" t="str"/>
      <x:c r="Y18" s="29" t="str"/>
    </x:row>
    <x:row r="19" ht="60" customHeight="1">
      <x:c r="A19" s="29" t="str">
        <x:v>S016</x:v>
      </x:c>
      <x:c r="B19" s="29" t="str">
        <x:v>対象</x:v>
      </x:c>
      <x:c r="C19" s="29" t="str">
        <x:v>23区</x:v>
      </x:c>
      <x:c r="D19" s="29" t="str">
        <x:v>豊島区</x:v>
      </x:c>
      <x:c r="E19" s="29" t="str">
        <x:v>IKEBUS</x:v>
      </x:c>
      <x:c r="F19" s="29" t="str">
        <x:v>低速電動バス</x:v>
      </x:c>
      <x:c r="G19" s="29" t="str">
        <x:v>2023基準</x:v>
      </x:c>
      <x:c r="H19" s="29" t="str">
        <x:v>Aル－ト Bル－ト</x:v>
      </x:c>
      <x:c r="I19" s="29" t="str">
        <x:v>WILLER EXPRESS</x:v>
      </x:c>
      <x:c r="J19" s="29" t="str">
        <x:v>200円（大人）※令和6年2月1日～</x:v>
      </x:c>
      <x:c r="K19" s="29" t="str">
        <x:v>2023年12月基準・現行要確認</x:v>
      </x:c>
      <x:c r="L19" s="29" t="str"/>
      <x:c r="M19" s="29" t="str">
        <x:v>現行データ・取得条件要確認</x:v>
      </x:c>
      <x:c r="N19" s="29" t="str">
        <x:v>PTD-HS利用条件確認</x:v>
      </x:c>
      <x:c r="O19" s="34" t="str"/>
      <x:c r="P19" s="29" t="str">
        <x:v>PTD-HS条件確認</x:v>
      </x:c>
      <x:c r="Q19" s="32" t="n">
        <x:v>46240</x:v>
      </x:c>
      <x:c r="R19" s="32" t="n">
        <x:v>46598</x:v>
      </x:c>
      <x:c r="S19" s="29" t="str">
        <x:v>なし</x:v>
      </x:c>
      <x:c r="T19" s="34" t="str">
        <x:v>https://www.city.toshima.lg.jp/machizukuri/kotsu/2203081526.html</x:v>
      </x:c>
      <x:c r="U19" s="34" t="str">
        <x:v>https://www.toshiseibi1.metro.tokyo.lg.jp/bunyabetsu/kotsu_butsuryu/pdf/index_koutuu_01.xlsx</x:v>
      </x:c>
      <x:c r="V19" s="32" t="n">
        <x:v>46256</x:v>
      </x:c>
      <x:c r="W19" s="29" t="str">
        <x:v>B</x:v>
      </x:c>
      <x:c r="X19" s="29" t="str">
        <x:v>F031</x:v>
      </x:c>
      <x:c r="Y19" s="29" t="str"/>
    </x:row>
    <x:row r="20" ht="60" customHeight="1">
      <x:c r="A20" s="29" t="str">
        <x:v>S017</x:v>
      </x:c>
      <x:c r="B20" s="29" t="str">
        <x:v>対象</x:v>
      </x:c>
      <x:c r="C20" s="29" t="str">
        <x:v>23区</x:v>
      </x:c>
      <x:c r="D20" s="29" t="str">
        <x:v>豊島区</x:v>
      </x:c>
      <x:c r="E20" s="29" t="str">
        <x:v>mobi＜AIオンデマンド交通＞（実証運行）</x:v>
      </x:c>
      <x:c r="F20" s="29" t="str">
        <x:v>デマンド交通</x:v>
      </x:c>
      <x:c r="G20" s="29" t="str">
        <x:v>2023基準</x:v>
      </x:c>
      <x:c r="H20" s="29" t="str">
        <x:v>大塚駅周辺地区</x:v>
      </x:c>
      <x:c r="I20" s="29" t="str">
        <x:v>Community Mobility エコリムジン東京</x:v>
      </x:c>
      <x:c r="J20" s="29" t="str">
        <x:v>1回乗車400円 30日乗り放題6,000円</x:v>
      </x:c>
      <x:c r="K20" s="29" t="str">
        <x:v>実証継続状況要確認</x:v>
      </x:c>
      <x:c r="L20" s="29" t="str">
        <x:v>2023基準資料掲載。現行の運行期間・予約API・利用規約を別途確認。</x:v>
      </x:c>
      <x:c r="M20" s="29" t="str">
        <x:v>未確認／公開なし</x:v>
      </x:c>
      <x:c r="N20" s="29" t="str"/>
      <x:c r="O20" s="34" t="str"/>
      <x:c r="P20" s="29" t="str"/>
      <x:c r="Q20" s="32"/>
      <x:c r="R20" s="32"/>
      <x:c r="S20" s="29" t="str">
        <x:v>なし／未確認</x:v>
      </x:c>
      <x:c r="T20" s="34" t="str">
        <x:v>https://www.city.toshima.lg.jp/machizukuri/kotsu/2203081526.html</x:v>
      </x:c>
      <x:c r="U20" s="34" t="str">
        <x:v>https://www.toshiseibi1.metro.tokyo.lg.jp/bunyabetsu/kotsu_butsuryu/pdf/index_koutuu_01.xlsx</x:v>
      </x:c>
      <x:c r="V20" s="32" t="n">
        <x:v>46256</x:v>
      </x:c>
      <x:c r="W20" s="29" t="str">
        <x:v>C</x:v>
      </x:c>
      <x:c r="X20" s="29" t="str"/>
      <x:c r="Y20" s="29" t="str"/>
    </x:row>
    <x:row r="21" ht="60" customHeight="1">
      <x:c r="A21" s="29" t="str">
        <x:v>S018</x:v>
      </x:c>
      <x:c r="B21" s="29" t="str">
        <x:v>対象</x:v>
      </x:c>
      <x:c r="C21" s="29" t="str">
        <x:v>23区</x:v>
      </x:c>
      <x:c r="D21" s="29" t="str">
        <x:v>北区</x:v>
      </x:c>
      <x:c r="E21" s="29" t="str">
        <x:v>Ｋバス</x:v>
      </x:c>
      <x:c r="F21" s="29" t="str">
        <x:v>固定路線バス</x:v>
      </x:c>
      <x:c r="G21" s="29" t="str">
        <x:v>2023基準</x:v>
      </x:c>
      <x:c r="H21" s="29" t="str">
        <x:v>王子・駒込ルート／田端循環ルート／浮間ルート</x:v>
      </x:c>
      <x:c r="I21" s="29" t="str">
        <x:v>日立自動車交通</x:v>
      </x:c>
      <x:c r="J21" s="29" t="str">
        <x:v>均一100円</x:v>
      </x:c>
      <x:c r="K21" s="29" t="str">
        <x:v>現行（3系統）</x:v>
      </x:c>
      <x:c r="L21" s="29" t="str">
        <x:v>浮間ルートは2026-04-01から本格運行。静的GTFS公開、Bus Go閲覧画面あり。公開GTFS-RTは未確認。</x:v>
      </x:c>
      <x:c r="M21" s="29" t="str">
        <x:v>有効・静的</x:v>
      </x:c>
      <x:c r="N21" s="29" t="str">
        <x:v>公開・キー不要</x:v>
      </x:c>
      <x:c r="O21" s="34" t="str">
        <x:v>https://api-public.odpt.org/api/v4/files/odpt/HitachiAutomobileTransportation/KitaAllLines.zip?date=current</x:v>
      </x:c>
      <x:c r="P21" s="29" t="str">
        <x:v>CC BY 4.0</x:v>
      </x:c>
      <x:c r="Q21" s="32" t="n">
        <x:v>46029</x:v>
      </x:c>
      <x:c r="R21" s="32" t="n">
        <x:v>46387</x:v>
      </x:c>
      <x:c r="S21" s="29" t="str">
        <x:v>なし</x:v>
      </x:c>
      <x:c r="T21" s="34" t="str">
        <x:v>https://www.city.kita.tokyo.jp/kurashi/bus/index.html</x:v>
      </x:c>
      <x:c r="U21" s="34" t="str">
        <x:v>https://www.toshiseibi1.metro.tokyo.lg.jp/bunyabetsu/kotsu_butsuryu/pdf/index_koutuu_01.xlsx</x:v>
      </x:c>
      <x:c r="V21" s="32" t="n">
        <x:v>46256</x:v>
      </x:c>
      <x:c r="W21" s="29" t="str">
        <x:v>A</x:v>
      </x:c>
      <x:c r="X21" s="29" t="str">
        <x:v>F005</x:v>
      </x:c>
      <x:c r="Y21" s="29" t="str"/>
    </x:row>
    <x:row r="22" ht="60" customHeight="1">
      <x:c r="A22" s="29" t="str">
        <x:v>S019</x:v>
      </x:c>
      <x:c r="B22" s="29" t="str">
        <x:v>対象</x:v>
      </x:c>
      <x:c r="C22" s="29" t="str">
        <x:v>23区</x:v>
      </x:c>
      <x:c r="D22" s="29" t="str">
        <x:v>荒川区</x:v>
      </x:c>
      <x:c r="E22" s="29" t="str">
        <x:v>さくら</x:v>
      </x:c>
      <x:c r="F22" s="29" t="str">
        <x:v>固定路線バス</x:v>
      </x:c>
      <x:c r="G22" s="29" t="str">
        <x:v>2023基準</x:v>
      </x:c>
      <x:c r="H22" s="29" t="str">
        <x:v>南千01系統／南千02系統／南千02-1系統（土休日のみ）</x:v>
      </x:c>
      <x:c r="I22" s="29" t="str">
        <x:v>京成バス</x:v>
      </x:c>
      <x:c r="J22" s="29" t="str">
        <x:v>現金：大人180円 小児90円 IC：大人178円 小児89円</x:v>
      </x:c>
      <x:c r="K22" s="29" t="str">
        <x:v>2023年12月基準・現行要確認</x:v>
      </x:c>
      <x:c r="L22" s="29" t="str"/>
      <x:c r="M22" s="29" t="str">
        <x:v>有効・静的</x:v>
      </x:c>
      <x:c r="N22" s="29" t="str">
        <x:v>公開・キー不要</x:v>
      </x:c>
      <x:c r="O22" s="34" t="str">
        <x:v>https://api.gtfs-data.jp/v2/organizations/arakawacity/feeds/sakura/files/feed.zip</x:v>
      </x:c>
      <x:c r="P22" s="29" t="str">
        <x:v>CC BY 4.0</x:v>
      </x:c>
      <x:c r="Q22" s="32" t="n">
        <x:v>46085</x:v>
      </x:c>
      <x:c r="R22" s="32" t="n">
        <x:v>46446</x:v>
      </x:c>
      <x:c r="S22" s="29" t="str">
        <x:v>なし</x:v>
      </x:c>
      <x:c r="T22" s="34" t="str">
        <x:v>https://www.city.arakawa.tokyo.jp/a040/koutsuu-bus/komyuniteibasu/sakura.html</x:v>
      </x:c>
      <x:c r="U22" s="34" t="str">
        <x:v>https://www.toshiseibi1.metro.tokyo.lg.jp/bunyabetsu/kotsu_butsuryu/pdf/index_koutuu_01.xlsx</x:v>
      </x:c>
      <x:c r="V22" s="32" t="n">
        <x:v>46256</x:v>
      </x:c>
      <x:c r="W22" s="29" t="str">
        <x:v>A</x:v>
      </x:c>
      <x:c r="X22" s="29" t="str">
        <x:v>F029</x:v>
      </x:c>
      <x:c r="Y22" s="29" t="str"/>
    </x:row>
    <x:row r="23" ht="60" customHeight="1">
      <x:c r="A23" s="29" t="str">
        <x:v>S020</x:v>
      </x:c>
      <x:c r="B23" s="29" t="str">
        <x:v>対象</x:v>
      </x:c>
      <x:c r="C23" s="29" t="str">
        <x:v>23区</x:v>
      </x:c>
      <x:c r="D23" s="29" t="str">
        <x:v>荒川区</x:v>
      </x:c>
      <x:c r="E23" s="29" t="str">
        <x:v>汐入さくら</x:v>
      </x:c>
      <x:c r="F23" s="29" t="str">
        <x:v>固定路線バス</x:v>
      </x:c>
      <x:c r="G23" s="29" t="str">
        <x:v>2023基準</x:v>
      </x:c>
      <x:c r="H23" s="29" t="str">
        <x:v>南千03系統</x:v>
      </x:c>
      <x:c r="I23" s="29" t="str">
        <x:v>京成バス</x:v>
      </x:c>
      <x:c r="J23" s="29" t="str">
        <x:v>現金：大人180円 小児90円 IC：大人178円 小児89円</x:v>
      </x:c>
      <x:c r="K23" s="29" t="str">
        <x:v>2023年12月基準・現行要確認</x:v>
      </x:c>
      <x:c r="L23" s="29" t="str"/>
      <x:c r="M23" s="29" t="str">
        <x:v>未確認／公開なし</x:v>
      </x:c>
      <x:c r="N23" s="29" t="str"/>
      <x:c r="O23" s="34" t="str"/>
      <x:c r="P23" s="29" t="str"/>
      <x:c r="Q23" s="32"/>
      <x:c r="R23" s="32"/>
      <x:c r="S23" s="29" t="str">
        <x:v>なし／未確認</x:v>
      </x:c>
      <x:c r="T23" s="34" t="str">
        <x:v>https://www.city.arakawa.tokyo.jp/a040/koutsuu-bus/komyuniteibasu/sakura.html</x:v>
      </x:c>
      <x:c r="U23" s="34" t="str">
        <x:v>https://www.toshiseibi1.metro.tokyo.lg.jp/bunyabetsu/kotsu_butsuryu/pdf/index_koutuu_01.xlsx</x:v>
      </x:c>
      <x:c r="V23" s="32" t="n">
        <x:v>46256</x:v>
      </x:c>
      <x:c r="W23" s="29" t="str">
        <x:v>C</x:v>
      </x:c>
      <x:c r="X23" s="29" t="str"/>
      <x:c r="Y23" s="29" t="str"/>
    </x:row>
    <x:row r="24" ht="60" customHeight="1">
      <x:c r="A24" s="29" t="str">
        <x:v>S021</x:v>
      </x:c>
      <x:c r="B24" s="29" t="str">
        <x:v>終了</x:v>
      </x:c>
      <x:c r="C24" s="29" t="str">
        <x:v>23区</x:v>
      </x:c>
      <x:c r="D24" s="29" t="str">
        <x:v>荒川区</x:v>
      </x:c>
      <x:c r="E24" s="29" t="str">
        <x:v>旧「町屋さくら」ルートにおけるデマンド交通実証運行（令和6年3月末まで）</x:v>
      </x:c>
      <x:c r="F24" s="29" t="str">
        <x:v>固定路線バス</x:v>
      </x:c>
      <x:c r="G24" s="29" t="str">
        <x:v>2023基準</x:v>
      </x:c>
      <x:c r="H24" s="29" t="str">
        <x:v>旧「町屋さくら」ルート</x:v>
      </x:c>
      <x:c r="I24" s="29" t="str">
        <x:v>三和交通 大日本自動車交通 東京合同自動車</x:v>
      </x:c>
      <x:c r="J24" s="29" t="str">
        <x:v>大人300円 小人（未就学児除く）運賃150 円</x:v>
      </x:c>
      <x:c r="K24" s="29" t="str">
        <x:v>終了（2024-03-31）</x:v>
      </x:c>
      <x:c r="L24" s="29" t="str">
        <x:v>基準資料自体に期限が明記された実証運行。アプリ対象から除外し履歴として保持。</x:v>
      </x:c>
      <x:c r="M24" s="29" t="str">
        <x:v>未確認／公開なし</x:v>
      </x:c>
      <x:c r="N24" s="29" t="str"/>
      <x:c r="O24" s="34" t="str"/>
      <x:c r="P24" s="29" t="str"/>
      <x:c r="Q24" s="32"/>
      <x:c r="R24" s="32"/>
      <x:c r="S24" s="29" t="str">
        <x:v>なし／未確認</x:v>
      </x:c>
      <x:c r="T24" s="34" t="str">
        <x:v>https://www.city.arakawa.tokyo.jp/a040/koutsuu-bus/komyuniteibasu/sakura.html</x:v>
      </x:c>
      <x:c r="U24" s="34" t="str">
        <x:v>https://www.toshiseibi1.metro.tokyo.lg.jp/bunyabetsu/kotsu_butsuryu/pdf/index_koutuu_01.xlsx</x:v>
      </x:c>
      <x:c r="V24" s="32" t="n">
        <x:v>46256</x:v>
      </x:c>
      <x:c r="W24" s="29" t="str">
        <x:v>D</x:v>
      </x:c>
      <x:c r="X24" s="29" t="str"/>
      <x:c r="Y24" s="29" t="str"/>
    </x:row>
    <x:row r="25" ht="60" customHeight="1">
      <x:c r="A25" s="29" t="str">
        <x:v>S022</x:v>
      </x:c>
      <x:c r="B25" s="29" t="str">
        <x:v>対象</x:v>
      </x:c>
      <x:c r="C25" s="29" t="str">
        <x:v>23区</x:v>
      </x:c>
      <x:c r="D25" s="29" t="str">
        <x:v>板橋区</x:v>
      </x:c>
      <x:c r="E25" s="29" t="str">
        <x:v>板橋区コミュニティバス りんりんGO</x:v>
      </x:c>
      <x:c r="F25" s="29" t="str">
        <x:v>固定路線バス</x:v>
      </x:c>
      <x:c r="G25" s="29" t="str">
        <x:v>2023基準</x:v>
      </x:c>
      <x:c r="H25" s="29" t="str">
        <x:v>板01系統 板橋市場～新高島平駅～下赤塚駅～新高島平駅～板橋市場 （循環）</x:v>
      </x:c>
      <x:c r="I25" s="29" t="str">
        <x:v>国際興業</x:v>
      </x:c>
      <x:c r="J25" s="29" t="str">
        <x:v>大人 230円 小人 120円 (ICカードの場合、大人 230円・小人115円）</x:v>
      </x:c>
      <x:c r="K25" s="29" t="str">
        <x:v>2023年12月基準・現行要確認</x:v>
      </x:c>
      <x:c r="L25" s="29" t="str"/>
      <x:c r="M25" s="29" t="str">
        <x:v>有効・静的</x:v>
      </x:c>
      <x:c r="N25" s="29" t="str">
        <x:v>公開・キー不要</x:v>
      </x:c>
      <x:c r="O25" s="34" t="str">
        <x:v>https://www.city.itabashi.tokyo.jp/_res/projects/default_project/_page_/001/006/732/rinringo_gtfs_20260401asshuku.zip</x:v>
      </x:c>
      <x:c r="P25" s="29" t="str">
        <x:v>CC BY 4.0</x:v>
      </x:c>
      <x:c r="Q25" s="32" t="n">
        <x:v>46162</x:v>
      </x:c>
      <x:c r="R25" s="32" t="n">
        <x:v>46843</x:v>
      </x:c>
      <x:c r="S25" s="29" t="str">
        <x:v>なし</x:v>
      </x:c>
      <x:c r="T25" s="34" t="str">
        <x:v>https://www.city.itabashi.tokyo.jp/bousai/toshikeiakku/kotsu/index.html</x:v>
      </x:c>
      <x:c r="U25" s="34" t="str">
        <x:v>https://www.toshiseibi1.metro.tokyo.lg.jp/bunyabetsu/kotsu_butsuryu/pdf/index_koutuu_01.xlsx</x:v>
      </x:c>
      <x:c r="V25" s="32" t="n">
        <x:v>46256</x:v>
      </x:c>
      <x:c r="W25" s="29" t="str">
        <x:v>A</x:v>
      </x:c>
      <x:c r="X25" s="29" t="str">
        <x:v>F008</x:v>
      </x:c>
      <x:c r="Y25" s="29" t="str"/>
    </x:row>
    <x:row r="26" ht="60" customHeight="1">
      <x:c r="A26" s="29" t="str">
        <x:v>S023</x:v>
      </x:c>
      <x:c r="B26" s="29" t="str">
        <x:v>対象</x:v>
      </x:c>
      <x:c r="C26" s="29" t="str">
        <x:v>23区</x:v>
      </x:c>
      <x:c r="D26" s="29" t="str">
        <x:v>練馬区</x:v>
      </x:c>
      <x:c r="E26" s="29" t="str">
        <x:v>みどりバス</x:v>
      </x:c>
      <x:c r="F26" s="29" t="str">
        <x:v>固定路線バス</x:v>
      </x:c>
      <x:c r="G26" s="29" t="str">
        <x:v>2023基準</x:v>
      </x:c>
      <x:c r="H26" s="29" t="str">
        <x:v>保谷ルート／北町ルート／関町ルート／氷川台ルート／大泉ルート／南大泉ルート</x:v>
      </x:c>
      <x:c r="I26" s="29" t="str">
        <x:v>西武バス／国際興業</x:v>
      </x:c>
      <x:c r="J26" s="29" t="str">
        <x:v>大人 220円 小人 110円 現金・IC共通</x:v>
      </x:c>
      <x:c r="K26" s="29" t="str">
        <x:v>2023年12月基準・現行要確認</x:v>
      </x:c>
      <x:c r="L26" s="29" t="str">
        <x:v>事業者包括GTFSから対象route_idの確定が必要。</x:v>
      </x:c>
      <x:c r="M26" s="29" t="str">
        <x:v>事業者包括候補</x:v>
      </x:c>
      <x:c r="N26" s="29" t="str">
        <x:v>ODPT利用登録・キー</x:v>
      </x:c>
      <x:c r="O26" s="34" t="str">
        <x:v>https://api.odpt.org/api/v4/files/SeibuBus/data/SeibuBus-GTFS.zip?acl%3AconsumerKey=</x:v>
      </x:c>
      <x:c r="P26" s="29" t="str">
        <x:v>ODPT利用規約</x:v>
      </x:c>
      <x:c r="Q26" s="32" t="n">
        <x:v>46235</x:v>
      </x:c>
      <x:c r="R26" s="32" t="n">
        <x:v>46326</x:v>
      </x:c>
      <x:c r="S26" s="29" t="str">
        <x:v>候補あり</x:v>
      </x:c>
      <x:c r="T26" s="34" t="str">
        <x:v>https://www.city.nerima.tokyo.jp/kurashi/sumai/bus/index.html</x:v>
      </x:c>
      <x:c r="U26" s="34" t="str">
        <x:v>https://www.toshiseibi1.metro.tokyo.lg.jp/bunyabetsu/kotsu_butsuryu/pdf/index_koutuu_01.xlsx</x:v>
      </x:c>
      <x:c r="V26" s="32" t="n">
        <x:v>46256</x:v>
      </x:c>
      <x:c r="W26" s="29" t="str">
        <x:v>B</x:v>
      </x:c>
      <x:c r="X26" s="29" t="str">
        <x:v>OP002</x:v>
      </x:c>
      <x:c r="Y26" s="29" t="str"/>
    </x:row>
    <x:row r="27" ht="60" customHeight="1">
      <x:c r="A27" s="29" t="str">
        <x:v>S024</x:v>
      </x:c>
      <x:c r="B27" s="29" t="str">
        <x:v>対象</x:v>
      </x:c>
      <x:c r="C27" s="29" t="str">
        <x:v>23区</x:v>
      </x:c>
      <x:c r="D27" s="29" t="str">
        <x:v>足立区</x:v>
      </x:c>
      <x:c r="E27" s="29" t="str">
        <x:v>はるかぜ</x:v>
      </x:c>
      <x:c r="F27" s="29" t="str">
        <x:v>固定路線バス</x:v>
      </x:c>
      <x:c r="G27" s="29" t="str">
        <x:v>2023基準</x:v>
      </x:c>
      <x:c r="H27" s="29" t="str">
        <x:v>1・2・4・5・6・8・9・11・12号（9路線）</x:v>
      </x:c>
      <x:c r="I27" s="29" t="str">
        <x:v>日立自動車交通／朝日自動車／国際興業／東武バスセントラル／新日本観光自動車</x:v>
      </x:c>
      <x:c r="J27" s="29" t="str">
        <x:v>210円／230円</x:v>
      </x:c>
      <x:c r="K27" s="29" t="str">
        <x:v>現行（9路線）</x:v>
      </x:c>
      <x:c r="L27" s="29" t="str">
        <x:v>3号は2024-03-31、10号は2024-03-29、7号は2025-03-31に終了。11号は2024-04-01以降、堀之内・椿循環のみ。</x:v>
      </x:c>
      <x:c r="M27" s="29" t="str">
        <x:v>未確認／公開なし</x:v>
      </x:c>
      <x:c r="N27" s="29" t="str"/>
      <x:c r="O27" s="34" t="str"/>
      <x:c r="P27" s="29" t="str"/>
      <x:c r="Q27" s="32"/>
      <x:c r="R27" s="32"/>
      <x:c r="S27" s="29" t="str">
        <x:v>なし／未確認</x:v>
      </x:c>
      <x:c r="T27" s="34" t="str">
        <x:v>https://www.city.adachi.tokyo.jp/machi/kotsu/index.html</x:v>
      </x:c>
      <x:c r="U27" s="34" t="str">
        <x:v>https://www.toshiseibi1.metro.tokyo.lg.jp/bunyabetsu/kotsu_butsuryu/pdf/index_koutuu_01.xlsx</x:v>
      </x:c>
      <x:c r="V27" s="32" t="n">
        <x:v>46256</x:v>
      </x:c>
      <x:c r="W27" s="29" t="str">
        <x:v>C</x:v>
      </x:c>
      <x:c r="X27" s="29" t="str"/>
      <x:c r="Y27" s="29" t="str"/>
    </x:row>
    <x:row r="28" ht="60" customHeight="1">
      <x:c r="A28" s="29" t="str">
        <x:v>S025</x:v>
      </x:c>
      <x:c r="B28" s="29" t="str">
        <x:v>対象</x:v>
      </x:c>
      <x:c r="C28" s="29" t="str">
        <x:v>23区</x:v>
      </x:c>
      <x:c r="D28" s="29" t="str">
        <x:v>足立区</x:v>
      </x:c>
      <x:c r="E28" s="29" t="str">
        <x:v>ブンブン号</x:v>
      </x:c>
      <x:c r="F28" s="29" t="str">
        <x:v>固定路線バス</x:v>
      </x:c>
      <x:c r="G28" s="29" t="str">
        <x:v>2023基準</x:v>
      </x:c>
      <x:c r="H28" s="29" t="str">
        <x:v>六町駅～花畑桑袋団地 ※R6.3.22までの運行</x:v>
      </x:c>
      <x:c r="I28" s="29" t="str">
        <x:v>東武バスセントラル</x:v>
      </x:c>
      <x:c r="J28" s="29" t="str">
        <x:v>220円</x:v>
      </x:c>
      <x:c r="K28" s="29" t="str">
        <x:v>2023年12月基準・現行要確認</x:v>
      </x:c>
      <x:c r="L28" s="29" t="str"/>
      <x:c r="M28" s="29" t="str">
        <x:v>未確認／公開なし</x:v>
      </x:c>
      <x:c r="N28" s="29" t="str"/>
      <x:c r="O28" s="34" t="str"/>
      <x:c r="P28" s="29" t="str"/>
      <x:c r="Q28" s="32"/>
      <x:c r="R28" s="32"/>
      <x:c r="S28" s="29" t="str">
        <x:v>なし／未確認</x:v>
      </x:c>
      <x:c r="T28" s="34" t="str">
        <x:v>https://www.city.adachi.tokyo.jp/machi/kotsu/index.html</x:v>
      </x:c>
      <x:c r="U28" s="34" t="str">
        <x:v>https://www.toshiseibi1.metro.tokyo.lg.jp/bunyabetsu/kotsu_butsuryu/pdf/index_koutuu_01.xlsx</x:v>
      </x:c>
      <x:c r="V28" s="32" t="n">
        <x:v>46256</x:v>
      </x:c>
      <x:c r="W28" s="29" t="str">
        <x:v>C</x:v>
      </x:c>
      <x:c r="X28" s="29" t="str"/>
      <x:c r="Y28" s="29" t="str"/>
    </x:row>
    <x:row r="29" ht="60" customHeight="1">
      <x:c r="A29" s="29" t="str">
        <x:v>S026</x:v>
      </x:c>
      <x:c r="B29" s="29" t="str">
        <x:v>対象</x:v>
      </x:c>
      <x:c r="C29" s="29" t="str">
        <x:v>23区</x:v>
      </x:c>
      <x:c r="D29" s="29" t="str">
        <x:v>葛飾区</x:v>
      </x:c>
      <x:c r="E29" s="29" t="str">
        <x:v>細田循環バス</x:v>
      </x:c>
      <x:c r="F29" s="29" t="str">
        <x:v>固定路線バス</x:v>
      </x:c>
      <x:c r="G29" s="29" t="str">
        <x:v>2023基準</x:v>
      </x:c>
      <x:c r="H29" s="29" t="str">
        <x:v>細02系統</x:v>
      </x:c>
      <x:c r="I29" s="29" t="str">
        <x:v>京成バス 京成タウンバス</x:v>
      </x:c>
      <x:c r="J29" s="29" t="str">
        <x:v>大人 220円 小人 110円</x:v>
      </x:c>
      <x:c r="K29" s="29" t="str">
        <x:v>2023年12月基準・現行要確認</x:v>
      </x:c>
      <x:c r="L29" s="29" t="str"/>
      <x:c r="M29" s="29" t="str">
        <x:v>未確認／公開なし</x:v>
      </x:c>
      <x:c r="N29" s="29" t="str"/>
      <x:c r="O29" s="34" t="str"/>
      <x:c r="P29" s="29" t="str"/>
      <x:c r="Q29" s="32"/>
      <x:c r="R29" s="32"/>
      <x:c r="S29" s="29" t="str">
        <x:v>なし／未確認</x:v>
      </x:c>
      <x:c r="T29" s="34" t="str">
        <x:v>https://www.city.katsushika.lg.jp/planning/1030243/1003616/index.html</x:v>
      </x:c>
      <x:c r="U29" s="34" t="str">
        <x:v>https://www.toshiseibi1.metro.tokyo.lg.jp/bunyabetsu/kotsu_butsuryu/pdf/index_koutuu_01.xlsx</x:v>
      </x:c>
      <x:c r="V29" s="32" t="n">
        <x:v>46256</x:v>
      </x:c>
      <x:c r="W29" s="29" t="str">
        <x:v>C</x:v>
      </x:c>
      <x:c r="X29" s="29" t="str"/>
      <x:c r="Y29" s="29" t="str"/>
    </x:row>
    <x:row r="30" ht="60" customHeight="1">
      <x:c r="A30" s="29" t="str">
        <x:v>S027</x:v>
      </x:c>
      <x:c r="B30" s="29" t="str">
        <x:v>対象</x:v>
      </x:c>
      <x:c r="C30" s="29" t="str">
        <x:v>23区</x:v>
      </x:c>
      <x:c r="D30" s="29" t="str">
        <x:v>葛飾区</x:v>
      </x:c>
      <x:c r="E30" s="29" t="str">
        <x:v>地域乗合タクシーさくら</x:v>
      </x:c>
      <x:c r="F30" s="29" t="str">
        <x:v>乗合タクシー・ワゴン</x:v>
      </x:c>
      <x:c r="G30" s="29" t="str">
        <x:v>2023基準</x:v>
      </x:c>
      <x:c r="H30" s="29" t="str">
        <x:v>綾瀬駅～小菅地域循環</x:v>
      </x:c>
      <x:c r="I30" s="29" t="str">
        <x:v>日立自動車交通</x:v>
      </x:c>
      <x:c r="J30" s="29" t="str">
        <x:v>大人 200円 小人 100円</x:v>
      </x:c>
      <x:c r="K30" s="29" t="str">
        <x:v>2023年12月基準・現行要確認</x:v>
      </x:c>
      <x:c r="L30" s="29" t="str"/>
      <x:c r="M30" s="29" t="str">
        <x:v>有効・静的</x:v>
      </x:c>
      <x:c r="N30" s="29" t="str">
        <x:v>公開・キー不要</x:v>
      </x:c>
      <x:c r="O30" s="34" t="str">
        <x:v>https://api.gtfs-data.jp/v2/organizations/katsushikacity/feeds/sakura/files/feed.zip</x:v>
      </x:c>
      <x:c r="P30" s="29" t="str">
        <x:v>CC BY 4.0</x:v>
      </x:c>
      <x:c r="Q30" s="32" t="n">
        <x:v>46009</x:v>
      </x:c>
      <x:c r="R30" s="32" t="n">
        <x:v>46387</x:v>
      </x:c>
      <x:c r="S30" s="29" t="str">
        <x:v>なし</x:v>
      </x:c>
      <x:c r="T30" s="34" t="str">
        <x:v>https://www.city.katsushika.lg.jp/planning/1030243/1003616/index.html</x:v>
      </x:c>
      <x:c r="U30" s="34" t="str">
        <x:v>https://www.toshiseibi1.metro.tokyo.lg.jp/bunyabetsu/kotsu_butsuryu/pdf/index_koutuu_01.xlsx</x:v>
      </x:c>
      <x:c r="V30" s="32" t="n">
        <x:v>46256</x:v>
      </x:c>
      <x:c r="W30" s="29" t="str">
        <x:v>C</x:v>
      </x:c>
      <x:c r="X30" s="29" t="str">
        <x:v>F009</x:v>
      </x:c>
      <x:c r="Y30" s="29" t="str"/>
    </x:row>
    <x:row r="31" ht="60" customHeight="1">
      <x:c r="A31" s="29" t="str">
        <x:v>S028</x:v>
      </x:c>
      <x:c r="B31" s="29" t="str">
        <x:v>対象</x:v>
      </x:c>
      <x:c r="C31" s="29" t="str">
        <x:v>多摩市部</x:v>
      </x:c>
      <x:c r="D31" s="29" t="str">
        <x:v>八王子市</x:v>
      </x:c>
      <x:c r="E31" s="29" t="str">
        <x:v>はちバス</x:v>
      </x:c>
      <x:c r="F31" s="29" t="str">
        <x:v>固定路線バス</x:v>
      </x:c>
      <x:c r="G31" s="29" t="str">
        <x:v>2023基準</x:v>
      </x:c>
      <x:c r="H31" s="29" t="str">
        <x:v>北部コース／西部コース／東部コース／西南部コース</x:v>
      </x:c>
      <x:c r="I31" s="29" t="str">
        <x:v>西東京バス</x:v>
      </x:c>
      <x:c r="J31" s="29" t="str">
        <x:v>・100円、170円、200円（対距離運賃制） ・小児、障害者は半額 ・未就学児は無料</x:v>
      </x:c>
      <x:c r="K31" s="29" t="str">
        <x:v>2023年12月基準・現行要確認</x:v>
      </x:c>
      <x:c r="L31" s="29" t="str">
        <x:v>事業者包括GTFSから対象route_idの確定が必要。</x:v>
      </x:c>
      <x:c r="M31" s="29" t="str">
        <x:v>事業者包括候補</x:v>
      </x:c>
      <x:c r="N31" s="29" t="str">
        <x:v>ODPT利用登録・キー</x:v>
      </x:c>
      <x:c r="O31" s="34" t="str">
        <x:v>https://api.odpt.org/api/v4/files/odpt/NishiTokyoBus/NTBus.zip?acl%3AconsumerKey=&amp;date=current</x:v>
      </x:c>
      <x:c r="P31" s="29" t="str">
        <x:v>ODPT利用規約</x:v>
      </x:c>
      <x:c r="Q31" s="32" t="n">
        <x:v>46233</x:v>
      </x:c>
      <x:c r="R31" s="32" t="n">
        <x:v>46262</x:v>
      </x:c>
      <x:c r="S31" s="29" t="str">
        <x:v>候補あり</x:v>
      </x:c>
      <x:c r="T31" s="34" t="str">
        <x:v>https://www.city.hachioji.tokyo.jp/kurashi/life/001/002/index.html</x:v>
      </x:c>
      <x:c r="U31" s="34" t="str">
        <x:v>https://www.toshiseibi1.metro.tokyo.lg.jp/bunyabetsu/kotsu_butsuryu/pdf/index_koutuu_01.xlsx</x:v>
      </x:c>
      <x:c r="V31" s="32" t="n">
        <x:v>46256</x:v>
      </x:c>
      <x:c r="W31" s="29" t="str">
        <x:v>B</x:v>
      </x:c>
      <x:c r="X31" s="29" t="str">
        <x:v>OP004</x:v>
      </x:c>
      <x:c r="Y31" s="29" t="str"/>
    </x:row>
    <x:row r="32" ht="60" customHeight="1">
      <x:c r="A32" s="29" t="str">
        <x:v>S029</x:v>
      </x:c>
      <x:c r="B32" s="29" t="str">
        <x:v>対象</x:v>
      </x:c>
      <x:c r="C32" s="29" t="str">
        <x:v>多摩市部</x:v>
      </x:c>
      <x:c r="D32" s="29" t="str">
        <x:v>立川市</x:v>
      </x:c>
      <x:c r="E32" s="29" t="str">
        <x:v>くるりんバス</x:v>
      </x:c>
      <x:c r="F32" s="29" t="str">
        <x:v>固定路線バス</x:v>
      </x:c>
      <x:c r="G32" s="29" t="str">
        <x:v>2023基準</x:v>
      </x:c>
      <x:c r="H32" s="29" t="str">
        <x:v>西砂ルート／錦ルート</x:v>
      </x:c>
      <x:c r="I32" s="29" t="str">
        <x:v>立川バス</x:v>
      </x:c>
      <x:c r="J32" s="29" t="str">
        <x:v>180円</x:v>
      </x:c>
      <x:c r="K32" s="29" t="str">
        <x:v>2023年12月基準・現行要確認</x:v>
      </x:c>
      <x:c r="L32" s="29" t="str"/>
      <x:c r="M32" s="29" t="str">
        <x:v>有効・静的</x:v>
      </x:c>
      <x:c r="N32" s="29" t="str">
        <x:v>公開・キー不要</x:v>
      </x:c>
      <x:c r="O32" s="34" t="str">
        <x:v>https://api.gtfs-data.jp/v2/organizations/tachikawacity/feeds/kururinbus/files/feed.zip</x:v>
      </x:c>
      <x:c r="P32" s="29" t="str">
        <x:v>CC BY 4.0</x:v>
      </x:c>
      <x:c r="Q32" s="32" t="n">
        <x:v>46111</x:v>
      </x:c>
      <x:c r="R32" s="32" t="n">
        <x:v>46477</x:v>
      </x:c>
      <x:c r="S32" s="29" t="str">
        <x:v>なし</x:v>
      </x:c>
      <x:c r="T32" s="34" t="str">
        <x:v>https://www.city.tachikawa.lg.jp/kotsutaisaku/kururinnsaihenn.html</x:v>
      </x:c>
      <x:c r="U32" s="34" t="str">
        <x:v>https://www.toshiseibi1.metro.tokyo.lg.jp/bunyabetsu/kotsu_butsuryu/pdf/index_koutuu_01.xlsx</x:v>
      </x:c>
      <x:c r="V32" s="32" t="n">
        <x:v>46256</x:v>
      </x:c>
      <x:c r="W32" s="29" t="str">
        <x:v>A</x:v>
      </x:c>
      <x:c r="X32" s="29" t="str">
        <x:v>F014</x:v>
      </x:c>
      <x:c r="Y32" s="29" t="str"/>
    </x:row>
    <x:row r="33" ht="60" customHeight="1">
      <x:c r="A33" s="29" t="str">
        <x:v>S030</x:v>
      </x:c>
      <x:c r="B33" s="29" t="str">
        <x:v>対象</x:v>
      </x:c>
      <x:c r="C33" s="29" t="str">
        <x:v>多摩市部</x:v>
      </x:c>
      <x:c r="D33" s="29" t="str">
        <x:v>武蔵野市</x:v>
      </x:c>
      <x:c r="E33" s="29" t="str">
        <x:v>ムーバス</x:v>
      </x:c>
      <x:c r="F33" s="29" t="str">
        <x:v>固定路線バス</x:v>
      </x:c>
      <x:c r="G33" s="29" t="str">
        <x:v>2023基準</x:v>
      </x:c>
      <x:c r="H33" s="29" t="str">
        <x:v>吉祥寺東循環／吉祥寺北西循環／境南・東循環/境南・西循環／三鷹駅北西循環／境西循環／境・東小金井線／三鷹・吉祥寺循環／境・三鷹循環</x:v>
      </x:c>
      <x:c r="I33" s="29" t="str">
        <x:v>関東バス／小田急バス</x:v>
      </x:c>
      <x:c r="J33" s="29" t="str">
        <x:v>100円</x:v>
      </x:c>
      <x:c r="K33" s="29" t="str">
        <x:v>2023年12月基準・現行要確認</x:v>
      </x:c>
      <x:c r="L33" s="29" t="str">
        <x:v>事業者包括GTFSから対象route_idの確定が必要。</x:v>
      </x:c>
      <x:c r="M33" s="29" t="str">
        <x:v>事業者包括候補</x:v>
      </x:c>
      <x:c r="N33" s="29" t="str">
        <x:v>ODPT利用登録・キー／ODPT利用登録・キー</x:v>
      </x:c>
      <x:c r="O33" s="34" t="str">
        <x:v>https://api.odpt.org/api/v4/files/odpt/KantoBus/AllLines.zip?acl%3AconsumerKey=&amp;date=current／https://api.odpt.org/api/v4/files/odpt/OdakyuBus/AIILines.zip?acl%3AconsumerKey=&amp;date=current</x:v>
      </x:c>
      <x:c r="P33" s="29" t="str">
        <x:v>ODPT利用規約</x:v>
      </x:c>
      <x:c r="Q33" s="32" t="n">
        <x:v>46215</x:v>
      </x:c>
      <x:c r="R33" s="32" t="n">
        <x:v>46229</x:v>
      </x:c>
      <x:c r="S33" s="29" t="str">
        <x:v>候補あり</x:v>
      </x:c>
      <x:c r="T33" s="34" t="str">
        <x:v>https://www.city.musashino.lg.jp/kurashi_tetsuzuki/bus_churin_chusha_kotsuanzen/mubus/index.html</x:v>
      </x:c>
      <x:c r="U33" s="34" t="str">
        <x:v>https://www.toshiseibi1.metro.tokyo.lg.jp/bunyabetsu/kotsu_butsuryu/pdf/index_koutuu_01.xlsx</x:v>
      </x:c>
      <x:c r="V33" s="32" t="n">
        <x:v>46256</x:v>
      </x:c>
      <x:c r="W33" s="29" t="str">
        <x:v>B</x:v>
      </x:c>
      <x:c r="X33" s="29" t="str">
        <x:v>OP003／OP005</x:v>
      </x:c>
      <x:c r="Y33" s="29" t="str"/>
    </x:row>
    <x:row r="34" ht="60" customHeight="1">
      <x:c r="A34" s="29" t="str">
        <x:v>S031</x:v>
      </x:c>
      <x:c r="B34" s="29" t="str">
        <x:v>要確認（福祉移送）</x:v>
      </x:c>
      <x:c r="C34" s="29" t="str">
        <x:v>多摩市部</x:v>
      </x:c>
      <x:c r="D34" s="29" t="str">
        <x:v>武蔵野市</x:v>
      </x:c>
      <x:c r="E34" s="29" t="str">
        <x:v>武蔵野市移送サービス事業 （レモンキャブ）</x:v>
      </x:c>
      <x:c r="F34" s="29" t="str">
        <x:v>福祉移送</x:v>
      </x:c>
      <x:c r="G34" s="29" t="str">
        <x:v>2023基準</x:v>
      </x:c>
      <x:c r="H34" s="29" t="str">
        <x:v>市内・近隣市区</x:v>
      </x:c>
      <x:c r="I34" s="29" t="str">
        <x:v>武蔵野市民社会福祉協議会</x:v>
      </x:c>
      <x:c r="J34" s="29" t="str">
        <x:v>800円/30分</x:v>
      </x:c>
      <x:c r="K34" s="29" t="str">
        <x:v>2023年12月基準・現行要確認</x:v>
      </x:c>
      <x:c r="L34" s="29" t="str"/>
      <x:c r="M34" s="29" t="str">
        <x:v>未確認／公開なし</x:v>
      </x:c>
      <x:c r="N34" s="29" t="str"/>
      <x:c r="O34" s="34" t="str"/>
      <x:c r="P34" s="29" t="str"/>
      <x:c r="Q34" s="32"/>
      <x:c r="R34" s="32"/>
      <x:c r="S34" s="29" t="str">
        <x:v>なし／未確認</x:v>
      </x:c>
      <x:c r="T34" s="34" t="str">
        <x:v>https://www.city.musashino.lg.jp/kurashi_tetsuzuki/bus_churin_chusha_kotsuanzen/mubus/index.html</x:v>
      </x:c>
      <x:c r="U34" s="34" t="str">
        <x:v>https://www.toshiseibi1.metro.tokyo.lg.jp/bunyabetsu/kotsu_butsuryu/pdf/index_koutuu_01.xlsx</x:v>
      </x:c>
      <x:c r="V34" s="32" t="n">
        <x:v>46256</x:v>
      </x:c>
      <x:c r="W34" s="29" t="str">
        <x:v>C</x:v>
      </x:c>
      <x:c r="X34" s="29" t="str"/>
      <x:c r="Y34" s="29" t="str"/>
    </x:row>
    <x:row r="35" ht="60" customHeight="1">
      <x:c r="A35" s="29" t="str">
        <x:v>S032</x:v>
      </x:c>
      <x:c r="B35" s="29" t="str">
        <x:v>対象</x:v>
      </x:c>
      <x:c r="C35" s="29" t="str">
        <x:v>多摩市部</x:v>
      </x:c>
      <x:c r="D35" s="29" t="str">
        <x:v>三鷹市</x:v>
      </x:c>
      <x:c r="E35" s="29" t="str">
        <x:v>みたかシティバス</x:v>
      </x:c>
      <x:c r="F35" s="29" t="str">
        <x:v>固定路線バス</x:v>
      </x:c>
      <x:c r="G35" s="29" t="str">
        <x:v>2023基準</x:v>
      </x:c>
      <x:c r="H35" s="29" t="str">
        <x:v>北野ルート／三鷹台ルート／明星学園ルート／三鷹の森ジブリ美術館ルート／新川・中原ルート</x:v>
      </x:c>
      <x:c r="I35" s="29" t="str">
        <x:v>小田急バス／小田急バス・京王バス</x:v>
      </x:c>
      <x:c r="J35" s="29" t="str">
        <x:v>大人210円 小児110円</x:v>
      </x:c>
      <x:c r="K35" s="29" t="str">
        <x:v>2023年12月基準・現行要確認</x:v>
      </x:c>
      <x:c r="L35" s="29" t="str">
        <x:v>事業者包括GTFSから対象route_idの確定が必要。</x:v>
      </x:c>
      <x:c r="M35" s="29" t="str">
        <x:v>事業者包括候補</x:v>
      </x:c>
      <x:c r="N35" s="29" t="str">
        <x:v>ODPT利用登録・キー／ODPT利用登録・キー</x:v>
      </x:c>
      <x:c r="O35" s="34" t="str">
        <x:v>https://api.odpt.org/api/v4/files/odpt/KeioBus/AllLines.zip?acl%3AconsumerKey=&amp;date=current／https://api.odpt.org/api/v4/files/odpt/OdakyuBus/AIILines.zip?acl%3AconsumerKey=&amp;date=current</x:v>
      </x:c>
      <x:c r="P35" s="29" t="str">
        <x:v>ODPT利用規約</x:v>
      </x:c>
      <x:c r="Q35" s="32" t="n">
        <x:v>46243</x:v>
      </x:c>
      <x:c r="R35" s="32" t="n">
        <x:v>46387</x:v>
      </x:c>
      <x:c r="S35" s="29" t="str">
        <x:v>候補あり</x:v>
      </x:c>
      <x:c r="T35" s="34" t="str">
        <x:v>https://www.city.mitaka.lg.jp/c_categories/index01005001.html</x:v>
      </x:c>
      <x:c r="U35" s="34" t="str">
        <x:v>https://www.toshiseibi1.metro.tokyo.lg.jp/bunyabetsu/kotsu_butsuryu/pdf/index_koutuu_01.xlsx</x:v>
      </x:c>
      <x:c r="V35" s="32" t="n">
        <x:v>46256</x:v>
      </x:c>
      <x:c r="W35" s="29" t="str">
        <x:v>B</x:v>
      </x:c>
      <x:c r="X35" s="29" t="str">
        <x:v>OP001／OP005</x:v>
      </x:c>
      <x:c r="Y35" s="29" t="str"/>
    </x:row>
    <x:row r="36" ht="60" customHeight="1">
      <x:c r="A36" s="29" t="str">
        <x:v>S033</x:v>
      </x:c>
      <x:c r="B36" s="29" t="str">
        <x:v>対象</x:v>
      </x:c>
      <x:c r="C36" s="29" t="str">
        <x:v>多摩市部</x:v>
      </x:c>
      <x:c r="D36" s="29" t="str">
        <x:v>三鷹市</x:v>
      </x:c>
      <x:c r="E36" s="29" t="str">
        <x:v>ムーバス</x:v>
      </x:c>
      <x:c r="F36" s="29" t="str">
        <x:v>固定路線バス</x:v>
      </x:c>
      <x:c r="G36" s="29" t="str">
        <x:v>2023基準</x:v>
      </x:c>
      <x:c r="H36" s="29" t="str">
        <x:v>三鷹‐境循環共同運行ルート</x:v>
      </x:c>
      <x:c r="I36" s="29" t="str">
        <x:v>小田急バス</x:v>
      </x:c>
      <x:c r="J36" s="29" t="str">
        <x:v>100円</x:v>
      </x:c>
      <x:c r="K36" s="29" t="str">
        <x:v>2023年12月基準・現行要確認</x:v>
      </x:c>
      <x:c r="L36" s="29" t="str">
        <x:v>事業者包括GTFSから対象route_idの確定が必要。</x:v>
      </x:c>
      <x:c r="M36" s="29" t="str">
        <x:v>事業者包括候補</x:v>
      </x:c>
      <x:c r="N36" s="29" t="str">
        <x:v>ODPT利用登録・キー</x:v>
      </x:c>
      <x:c r="O36" s="34" t="str">
        <x:v>https://api.odpt.org/api/v4/files/odpt/OdakyuBus/AIILines.zip?acl%3AconsumerKey=&amp;date=current</x:v>
      </x:c>
      <x:c r="P36" s="29" t="str">
        <x:v>ODPT利用規約</x:v>
      </x:c>
      <x:c r="Q36" s="32" t="n">
        <x:v>46215</x:v>
      </x:c>
      <x:c r="R36" s="32"/>
      <x:c r="S36" s="29" t="str">
        <x:v>なし／未確認</x:v>
      </x:c>
      <x:c r="T36" s="34" t="str">
        <x:v>https://www.city.mitaka.lg.jp/c_categories/index01005001.html</x:v>
      </x:c>
      <x:c r="U36" s="34" t="str">
        <x:v>https://www.toshiseibi1.metro.tokyo.lg.jp/bunyabetsu/kotsu_butsuryu/pdf/index_koutuu_01.xlsx</x:v>
      </x:c>
      <x:c r="V36" s="32" t="n">
        <x:v>46256</x:v>
      </x:c>
      <x:c r="W36" s="29" t="str">
        <x:v>B</x:v>
      </x:c>
      <x:c r="X36" s="29" t="str">
        <x:v>OP005</x:v>
      </x:c>
      <x:c r="Y36" s="29" t="str"/>
    </x:row>
    <x:row r="37" ht="60" customHeight="1">
      <x:c r="A37" s="29" t="str">
        <x:v>S034</x:v>
      </x:c>
      <x:c r="B37" s="29" t="str">
        <x:v>対象</x:v>
      </x:c>
      <x:c r="C37" s="29" t="str">
        <x:v>多摩市部</x:v>
      </x:c>
      <x:c r="D37" s="29" t="str">
        <x:v>三鷹市</x:v>
      </x:c>
      <x:c r="E37" s="29" t="str">
        <x:v>井のバス</x:v>
      </x:c>
      <x:c r="F37" s="29" t="str">
        <x:v>乗合タクシー・ワゴン</x:v>
      </x:c>
      <x:c r="G37" s="29" t="str">
        <x:v>2023基準</x:v>
      </x:c>
      <x:c r="H37" s="29" t="str">
        <x:v>三鷹台・明星学園ルート</x:v>
      </x:c>
      <x:c r="I37" s="29" t="str">
        <x:v>京王自動車</x:v>
      </x:c>
      <x:c r="J37" s="29" t="str">
        <x:v>100円（大人・小児同額）</x:v>
      </x:c>
      <x:c r="K37" s="29" t="str">
        <x:v>2023年12月基準・現行要確認</x:v>
      </x:c>
      <x:c r="L37" s="29" t="str"/>
      <x:c r="M37" s="29" t="str">
        <x:v>未確認／公開なし</x:v>
      </x:c>
      <x:c r="N37" s="29" t="str"/>
      <x:c r="O37" s="34" t="str"/>
      <x:c r="P37" s="29" t="str"/>
      <x:c r="Q37" s="32"/>
      <x:c r="R37" s="32"/>
      <x:c r="S37" s="29" t="str">
        <x:v>なし／未確認</x:v>
      </x:c>
      <x:c r="T37" s="34" t="str">
        <x:v>https://www.city.mitaka.lg.jp/c_categories/index01005001.html</x:v>
      </x:c>
      <x:c r="U37" s="34" t="str">
        <x:v>https://www.toshiseibi1.metro.tokyo.lg.jp/bunyabetsu/kotsu_butsuryu/pdf/index_koutuu_01.xlsx</x:v>
      </x:c>
      <x:c r="V37" s="32" t="n">
        <x:v>46256</x:v>
      </x:c>
      <x:c r="W37" s="29" t="str">
        <x:v>C</x:v>
      </x:c>
      <x:c r="X37" s="29" t="str"/>
      <x:c r="Y37" s="29" t="str"/>
    </x:row>
    <x:row r="38" ht="60" customHeight="1">
      <x:c r="A38" s="29" t="str">
        <x:v>S035</x:v>
      </x:c>
      <x:c r="B38" s="29" t="str">
        <x:v>対象</x:v>
      </x:c>
      <x:c r="C38" s="29" t="str">
        <x:v>多摩市部</x:v>
      </x:c>
      <x:c r="D38" s="29" t="str">
        <x:v>三鷹市</x:v>
      </x:c>
      <x:c r="E38" s="29" t="str">
        <x:v>大沢めぐり号、ほたる号</x:v>
      </x:c>
      <x:c r="F38" s="29" t="str">
        <x:v>固定路線バス</x:v>
      </x:c>
      <x:c r="G38" s="29" t="str">
        <x:v>2023基準</x:v>
      </x:c>
      <x:c r="H38" s="29" t="str">
        <x:v>三鷹市西部エリアAIデマンド交通</x:v>
      </x:c>
      <x:c r="I38" s="29" t="str">
        <x:v>寿交通 境交通</x:v>
      </x:c>
      <x:c r="J38" s="29" t="str">
        <x:v>エリア内100円 エリア外300円</x:v>
      </x:c>
      <x:c r="K38" s="29" t="str">
        <x:v>2023年12月基準・現行要確認</x:v>
      </x:c>
      <x:c r="L38" s="29" t="str"/>
      <x:c r="M38" s="29" t="str">
        <x:v>未確認／公開なし</x:v>
      </x:c>
      <x:c r="N38" s="29" t="str"/>
      <x:c r="O38" s="34" t="str"/>
      <x:c r="P38" s="29" t="str"/>
      <x:c r="Q38" s="32"/>
      <x:c r="R38" s="32"/>
      <x:c r="S38" s="29" t="str">
        <x:v>なし／未確認</x:v>
      </x:c>
      <x:c r="T38" s="34" t="str">
        <x:v>https://www.city.mitaka.lg.jp/c_categories/index01005001.html</x:v>
      </x:c>
      <x:c r="U38" s="34" t="str">
        <x:v>https://www.toshiseibi1.metro.tokyo.lg.jp/bunyabetsu/kotsu_butsuryu/pdf/index_koutuu_01.xlsx</x:v>
      </x:c>
      <x:c r="V38" s="32" t="n">
        <x:v>46256</x:v>
      </x:c>
      <x:c r="W38" s="29" t="str">
        <x:v>C</x:v>
      </x:c>
      <x:c r="X38" s="29" t="str"/>
      <x:c r="Y38" s="29" t="str"/>
    </x:row>
    <x:row r="39" ht="60" customHeight="1">
      <x:c r="A39" s="29" t="str">
        <x:v>S036</x:v>
      </x:c>
      <x:c r="B39" s="29" t="str">
        <x:v>対象</x:v>
      </x:c>
      <x:c r="C39" s="29" t="str">
        <x:v>多摩市部</x:v>
      </x:c>
      <x:c r="D39" s="29" t="str">
        <x:v>府中市</x:v>
      </x:c>
      <x:c r="E39" s="29" t="str">
        <x:v>ちゅうバス</x:v>
      </x:c>
      <x:c r="F39" s="29" t="str">
        <x:v>固定路線バス</x:v>
      </x:c>
      <x:c r="G39" s="29" t="str">
        <x:v>2023基準</x:v>
      </x:c>
      <x:c r="H39" s="29" t="str">
        <x:v>南町・四谷循環（よつや苑西ルート・四谷六丁目ルート）／押立町・朝日町循環（押立町ルート・朝日町ルート）／多磨町ルート／北山町循環／是政循環</x:v>
      </x:c>
      <x:c r="I39" s="29" t="str">
        <x:v>京王バス</x:v>
      </x:c>
      <x:c r="J39" s="29" t="str">
        <x:v>100円</x:v>
      </x:c>
      <x:c r="K39" s="29" t="str">
        <x:v>2023年12月基準・現行要確認</x:v>
      </x:c>
      <x:c r="L39" s="29" t="str">
        <x:v>事業者包括GTFSから対象route_idの確定が必要。</x:v>
      </x:c>
      <x:c r="M39" s="29" t="str">
        <x:v>事業者包括候補</x:v>
      </x:c>
      <x:c r="N39" s="29" t="str">
        <x:v>ODPT利用登録・キー</x:v>
      </x:c>
      <x:c r="O39" s="34" t="str">
        <x:v>https://api.odpt.org/api/v4/files/odpt/KeioBus/AllLines.zip?acl%3AconsumerKey=&amp;date=current</x:v>
      </x:c>
      <x:c r="P39" s="29" t="str">
        <x:v>ODPT利用規約</x:v>
      </x:c>
      <x:c r="Q39" s="32" t="n">
        <x:v>46243</x:v>
      </x:c>
      <x:c r="R39" s="32" t="n">
        <x:v>46387</x:v>
      </x:c>
      <x:c r="S39" s="29" t="str">
        <x:v>候補あり</x:v>
      </x:c>
      <x:c r="T39" s="34" t="str">
        <x:v>https://www.city.fuchu.tokyo.jp/kurashi/machi/tiikikoukyoukoutu/index.html</x:v>
      </x:c>
      <x:c r="U39" s="34" t="str">
        <x:v>https://www.toshiseibi1.metro.tokyo.lg.jp/bunyabetsu/kotsu_butsuryu/pdf/index_koutuu_01.xlsx</x:v>
      </x:c>
      <x:c r="V39" s="32" t="n">
        <x:v>46256</x:v>
      </x:c>
      <x:c r="W39" s="29" t="str">
        <x:v>B</x:v>
      </x:c>
      <x:c r="X39" s="29" t="str">
        <x:v>OP001</x:v>
      </x:c>
      <x:c r="Y39" s="29" t="str"/>
    </x:row>
    <x:row r="40" ht="60" customHeight="1">
      <x:c r="A40" s="29" t="str">
        <x:v>S037</x:v>
      </x:c>
      <x:c r="B40" s="29" t="str">
        <x:v>対象</x:v>
      </x:c>
      <x:c r="C40" s="29" t="str">
        <x:v>多摩市部</x:v>
      </x:c>
      <x:c r="D40" s="29" t="str">
        <x:v>昭島市</x:v>
      </x:c>
      <x:c r="E40" s="29" t="str">
        <x:v>Ａバス</x:v>
      </x:c>
      <x:c r="F40" s="29" t="str">
        <x:v>固定路線バス</x:v>
      </x:c>
      <x:c r="G40" s="29" t="str">
        <x:v>2023基準</x:v>
      </x:c>
      <x:c r="H40" s="29" t="str">
        <x:v>東ルート／西ルート／北ルート／中央ルート</x:v>
      </x:c>
      <x:c r="I40" s="29" t="str">
        <x:v>立川バス</x:v>
      </x:c>
      <x:c r="J40" s="29" t="str">
        <x:v>100円</x:v>
      </x:c>
      <x:c r="K40" s="29" t="str">
        <x:v>2023年12月基準・現行要確認</x:v>
      </x:c>
      <x:c r="L40" s="29" t="str"/>
      <x:c r="M40" s="29" t="str">
        <x:v>未確認／公開なし</x:v>
      </x:c>
      <x:c r="N40" s="29" t="str"/>
      <x:c r="O40" s="34" t="str"/>
      <x:c r="P40" s="29" t="str"/>
      <x:c r="Q40" s="32"/>
      <x:c r="R40" s="32"/>
      <x:c r="S40" s="29" t="str">
        <x:v>なし／未確認</x:v>
      </x:c>
      <x:c r="T40" s="34" t="str">
        <x:v>https://www.city.akishima.lg.jp/s080/060/010/121/20140821141206.html</x:v>
      </x:c>
      <x:c r="U40" s="34" t="str">
        <x:v>https://www.toshiseibi1.metro.tokyo.lg.jp/bunyabetsu/kotsu_butsuryu/pdf/index_koutuu_01.xlsx</x:v>
      </x:c>
      <x:c r="V40" s="32" t="n">
        <x:v>46256</x:v>
      </x:c>
      <x:c r="W40" s="29" t="str">
        <x:v>C</x:v>
      </x:c>
      <x:c r="X40" s="29" t="str"/>
      <x:c r="Y40" s="29" t="str"/>
    </x:row>
    <x:row r="41" ht="60" customHeight="1">
      <x:c r="A41" s="29" t="str">
        <x:v>S038</x:v>
      </x:c>
      <x:c r="B41" s="29" t="str">
        <x:v>対象</x:v>
      </x:c>
      <x:c r="C41" s="29" t="str">
        <x:v>多摩市部</x:v>
      </x:c>
      <x:c r="D41" s="29" t="str">
        <x:v>調布市</x:v>
      </x:c>
      <x:c r="E41" s="29" t="str">
        <x:v>ミニバス</x:v>
      </x:c>
      <x:c r="F41" s="29" t="str">
        <x:v>固定路線バス</x:v>
      </x:c>
      <x:c r="G41" s="29" t="str">
        <x:v>2023基準</x:v>
      </x:c>
      <x:c r="H41" s="29" t="str">
        <x:v>西路線／東路線／北路線</x:v>
      </x:c>
      <x:c r="I41" s="29" t="str">
        <x:v>京王バス／小田急バス</x:v>
      </x:c>
      <x:c r="J41" s="29" t="str">
        <x:v>現金／大人210円・小児110円 IC／大人210円・小児105円</x:v>
      </x:c>
      <x:c r="K41" s="29" t="str">
        <x:v>2023年12月基準・現行要確認</x:v>
      </x:c>
      <x:c r="L41" s="29" t="str">
        <x:v>事業者包括GTFSから対象route_idの確定が必要。</x:v>
      </x:c>
      <x:c r="M41" s="29" t="str">
        <x:v>事業者包括候補</x:v>
      </x:c>
      <x:c r="N41" s="29" t="str">
        <x:v>ODPT利用登録・キー／ODPT利用登録・キー</x:v>
      </x:c>
      <x:c r="O41" s="34" t="str">
        <x:v>https://api.odpt.org/api/v4/files/odpt/KeioBus/AllLines.zip?acl%3AconsumerKey=&amp;date=current／https://api.odpt.org/api/v4/files/odpt/OdakyuBus/AIILines.zip?acl%3AconsumerKey=&amp;date=current</x:v>
      </x:c>
      <x:c r="P41" s="29" t="str">
        <x:v>ODPT利用規約</x:v>
      </x:c>
      <x:c r="Q41" s="32" t="n">
        <x:v>46243</x:v>
      </x:c>
      <x:c r="R41" s="32" t="n">
        <x:v>46387</x:v>
      </x:c>
      <x:c r="S41" s="29" t="str">
        <x:v>候補あり</x:v>
      </x:c>
      <x:c r="T41" s="34" t="str">
        <x:v>https://www.city.chofu.lg.jp/080070/p050067.html</x:v>
      </x:c>
      <x:c r="U41" s="34" t="str">
        <x:v>https://www.toshiseibi1.metro.tokyo.lg.jp/bunyabetsu/kotsu_butsuryu/pdf/index_koutuu_01.xlsx</x:v>
      </x:c>
      <x:c r="V41" s="32" t="n">
        <x:v>46256</x:v>
      </x:c>
      <x:c r="W41" s="29" t="str">
        <x:v>B</x:v>
      </x:c>
      <x:c r="X41" s="29" t="str">
        <x:v>OP001／OP005</x:v>
      </x:c>
      <x:c r="Y41" s="29" t="str"/>
    </x:row>
    <x:row r="42" ht="60" customHeight="1">
      <x:c r="A42" s="29" t="str">
        <x:v>S039</x:v>
      </x:c>
      <x:c r="B42" s="29" t="str">
        <x:v>対象</x:v>
      </x:c>
      <x:c r="C42" s="29" t="str">
        <x:v>多摩市部</x:v>
      </x:c>
      <x:c r="D42" s="29" t="str">
        <x:v>調布市</x:v>
      </x:c>
      <x:c r="E42" s="29" t="str">
        <x:v>のるーと調布</x:v>
      </x:c>
      <x:c r="F42" s="29" t="str">
        <x:v>デマンド交通</x:v>
      </x:c>
      <x:c r="G42" s="29" t="str">
        <x:v>2023基準</x:v>
      </x:c>
      <x:c r="H42" s="29" t="str">
        <x:v>深大寺北町・深大寺東町</x:v>
      </x:c>
      <x:c r="I42" s="29" t="str">
        <x:v>京王自動車</x:v>
      </x:c>
      <x:c r="J42" s="29" t="str">
        <x:v>現金／大人300円・小児200円ほか</x:v>
      </x:c>
      <x:c r="K42" s="29" t="str">
        <x:v>2023年12月基準・現行要確認</x:v>
      </x:c>
      <x:c r="L42" s="29" t="str"/>
      <x:c r="M42" s="29" t="str">
        <x:v>未確認／公開なし</x:v>
      </x:c>
      <x:c r="N42" s="29" t="str"/>
      <x:c r="O42" s="34" t="str"/>
      <x:c r="P42" s="29" t="str"/>
      <x:c r="Q42" s="32"/>
      <x:c r="R42" s="32"/>
      <x:c r="S42" s="29" t="str">
        <x:v>なし／未確認</x:v>
      </x:c>
      <x:c r="T42" s="34" t="str">
        <x:v>https://www.city.chofu.lg.jp/080070/p050067.html</x:v>
      </x:c>
      <x:c r="U42" s="34" t="str">
        <x:v>https://www.toshiseibi1.metro.tokyo.lg.jp/bunyabetsu/kotsu_butsuryu/pdf/index_koutuu_01.xlsx</x:v>
      </x:c>
      <x:c r="V42" s="32" t="n">
        <x:v>46256</x:v>
      </x:c>
      <x:c r="W42" s="29" t="str">
        <x:v>C</x:v>
      </x:c>
      <x:c r="X42" s="29" t="str"/>
      <x:c r="Y42" s="29" t="str"/>
    </x:row>
    <x:row r="43" ht="60" customHeight="1">
      <x:c r="A43" s="29" t="str">
        <x:v>S040</x:v>
      </x:c>
      <x:c r="B43" s="29" t="str">
        <x:v>対象</x:v>
      </x:c>
      <x:c r="C43" s="29" t="str">
        <x:v>多摩市部</x:v>
      </x:c>
      <x:c r="D43" s="29" t="str">
        <x:v>町田市</x:v>
      </x:c>
      <x:c r="E43" s="29" t="str">
        <x:v>かわせみ号</x:v>
      </x:c>
      <x:c r="F43" s="29" t="str">
        <x:v>固定路線バス</x:v>
      </x:c>
      <x:c r="G43" s="29" t="str">
        <x:v>2023基準</x:v>
      </x:c>
      <x:c r="H43" s="29" t="str">
        <x:v>成瀬駅ルート</x:v>
      </x:c>
      <x:c r="I43" s="29" t="str">
        <x:v>神奈中タクシー</x:v>
      </x:c>
      <x:c r="J43" s="29" t="str">
        <x:v>大人210円、小児110円、障害者手帳所持者110円（現金） 大人210円、小児50円、障害者手帳所持者105円（ＩＣ） 70歳以上100円（現金のみ）</x:v>
      </x:c>
      <x:c r="K43" s="29" t="str">
        <x:v>2023年12月基準・現行要確認</x:v>
      </x:c>
      <x:c r="L43" s="29" t="str"/>
      <x:c r="M43" s="29" t="str">
        <x:v>有効・静的</x:v>
      </x:c>
      <x:c r="N43" s="29" t="str">
        <x:v>公開・キー不要</x:v>
      </x:c>
      <x:c r="O43" s="34" t="str">
        <x:v>https://api-public.odpt.org/api/v4/files/odpt/MachidaCity/AllLines.zip?date=current</x:v>
      </x:c>
      <x:c r="P43" s="29" t="str">
        <x:v>CC0 1.0</x:v>
      </x:c>
      <x:c r="Q43" s="32" t="n">
        <x:v>46099</x:v>
      </x:c>
      <x:c r="R43" s="32" t="n">
        <x:v>46843</x:v>
      </x:c>
      <x:c r="S43" s="29" t="str">
        <x:v>なし</x:v>
      </x:c>
      <x:c r="T43" s="34" t="str">
        <x:v>https://www.city.machida.tokyo.jp/kurashi/sumai/kotsu/index.html</x:v>
      </x:c>
      <x:c r="U43" s="34" t="str">
        <x:v>https://www.toshiseibi1.metro.tokyo.lg.jp/bunyabetsu/kotsu_butsuryu/pdf/index_koutuu_01.xlsx</x:v>
      </x:c>
      <x:c r="V43" s="32" t="n">
        <x:v>46256</x:v>
      </x:c>
      <x:c r="W43" s="29" t="str">
        <x:v>A</x:v>
      </x:c>
      <x:c r="X43" s="29" t="str">
        <x:v>F016</x:v>
      </x:c>
      <x:c r="Y43" s="29" t="str"/>
    </x:row>
    <x:row r="44" ht="60" customHeight="1">
      <x:c r="A44" s="29" t="str">
        <x:v>S041</x:v>
      </x:c>
      <x:c r="B44" s="29" t="str">
        <x:v>対象</x:v>
      </x:c>
      <x:c r="C44" s="29" t="str">
        <x:v>多摩市部</x:v>
      </x:c>
      <x:c r="D44" s="29" t="str">
        <x:v>町田市</x:v>
      </x:c>
      <x:c r="E44" s="29" t="str">
        <x:v>玉ちゃんバス</x:v>
      </x:c>
      <x:c r="F44" s="29" t="str">
        <x:v>固定路線バス</x:v>
      </x:c>
      <x:c r="G44" s="29" t="str">
        <x:v>2023基準</x:v>
      </x:c>
      <x:c r="H44" s="29" t="str">
        <x:v>北ルート／東ルート／南ルート</x:v>
      </x:c>
      <x:c r="I44" s="29" t="str">
        <x:v>小田急バス</x:v>
      </x:c>
      <x:c r="J44" s="29" t="str">
        <x:v>大人210円、小児110円、障害者手帳所持者110円（現金） 大人210円、小児105円（※）、障害者手帳所持者105円（ＩＣ）※令和6年5月1日より小児IC運賃50円（予定）</x:v>
      </x:c>
      <x:c r="K44" s="29" t="str">
        <x:v>2023年12月基準・現行要確認</x:v>
      </x:c>
      <x:c r="L44" s="29" t="str">
        <x:v>運行事業者の包括GTFS候補：小田急バス。</x:v>
      </x:c>
      <x:c r="M44" s="29" t="str">
        <x:v>有効・静的</x:v>
      </x:c>
      <x:c r="N44" s="29" t="str">
        <x:v>公開・キー不要</x:v>
      </x:c>
      <x:c r="O44" s="34" t="str">
        <x:v>https://api-public.odpt.org/api/v4/files/odpt/MachidaCity/AllLines.zip?date=current</x:v>
      </x:c>
      <x:c r="P44" s="29" t="str">
        <x:v>CC0 1.0</x:v>
      </x:c>
      <x:c r="Q44" s="32" t="n">
        <x:v>46099</x:v>
      </x:c>
      <x:c r="R44" s="32" t="n">
        <x:v>46843</x:v>
      </x:c>
      <x:c r="S44" s="29" t="str">
        <x:v>なし</x:v>
      </x:c>
      <x:c r="T44" s="34" t="str">
        <x:v>https://www.city.machida.tokyo.jp/kurashi/sumai/kotsu/index.html</x:v>
      </x:c>
      <x:c r="U44" s="34" t="str">
        <x:v>https://www.toshiseibi1.metro.tokyo.lg.jp/bunyabetsu/kotsu_butsuryu/pdf/index_koutuu_01.xlsx</x:v>
      </x:c>
      <x:c r="V44" s="32" t="n">
        <x:v>46256</x:v>
      </x:c>
      <x:c r="W44" s="29" t="str">
        <x:v>A</x:v>
      </x:c>
      <x:c r="X44" s="29" t="str">
        <x:v>F016</x:v>
      </x:c>
      <x:c r="Y44" s="29" t="str"/>
    </x:row>
    <x:row r="45" ht="60" customHeight="1">
      <x:c r="A45" s="29" t="str">
        <x:v>S042</x:v>
      </x:c>
      <x:c r="B45" s="29" t="str">
        <x:v>対象</x:v>
      </x:c>
      <x:c r="C45" s="29" t="str">
        <x:v>多摩市部</x:v>
      </x:c>
      <x:c r="D45" s="29" t="str">
        <x:v>町田市</x:v>
      </x:c>
      <x:c r="E45" s="29" t="str">
        <x:v>市民バス まちっこ</x:v>
      </x:c>
      <x:c r="F45" s="29" t="str">
        <x:v>固定路線バス</x:v>
      </x:c>
      <x:c r="G45" s="29" t="str">
        <x:v>2023基準</x:v>
      </x:c>
      <x:c r="H45" s="29" t="str">
        <x:v>公共施設巡回ルート／相原ルート</x:v>
      </x:c>
      <x:c r="I45" s="29" t="str">
        <x:v>神奈川中央交通</x:v>
      </x:c>
      <x:c r="J45" s="29" t="str">
        <x:v>100円／100円～300円</x:v>
      </x:c>
      <x:c r="K45" s="29" t="str">
        <x:v>2023年12月基準・現行要確認</x:v>
      </x:c>
      <x:c r="L45" s="29" t="str"/>
      <x:c r="M45" s="29" t="str">
        <x:v>有効・静的</x:v>
      </x:c>
      <x:c r="N45" s="29" t="str">
        <x:v>公開・キー不要</x:v>
      </x:c>
      <x:c r="O45" s="34" t="str">
        <x:v>https://api-public.odpt.org/api/v4/files/odpt/MachidaCity/AllLines.zip?date=current</x:v>
      </x:c>
      <x:c r="P45" s="29" t="str">
        <x:v>CC0 1.0</x:v>
      </x:c>
      <x:c r="Q45" s="32" t="n">
        <x:v>46099</x:v>
      </x:c>
      <x:c r="R45" s="32" t="n">
        <x:v>46843</x:v>
      </x:c>
      <x:c r="S45" s="29" t="str">
        <x:v>なし</x:v>
      </x:c>
      <x:c r="T45" s="34" t="str">
        <x:v>https://www.city.machida.tokyo.jp/kurashi/sumai/kotsu/index.html</x:v>
      </x:c>
      <x:c r="U45" s="34" t="str">
        <x:v>https://www.toshiseibi1.metro.tokyo.lg.jp/bunyabetsu/kotsu_butsuryu/pdf/index_koutuu_01.xlsx</x:v>
      </x:c>
      <x:c r="V45" s="32" t="n">
        <x:v>46256</x:v>
      </x:c>
      <x:c r="W45" s="29" t="str">
        <x:v>A</x:v>
      </x:c>
      <x:c r="X45" s="29" t="str">
        <x:v>F016</x:v>
      </x:c>
      <x:c r="Y45" s="29" t="str"/>
    </x:row>
    <x:row r="46" ht="60" customHeight="1">
      <x:c r="A46" s="29" t="str">
        <x:v>S043</x:v>
      </x:c>
      <x:c r="B46" s="29" t="str">
        <x:v>対象</x:v>
      </x:c>
      <x:c r="C46" s="29" t="str">
        <x:v>多摩市部</x:v>
      </x:c>
      <x:c r="D46" s="29" t="str">
        <x:v>町田市</x:v>
      </x:c>
      <x:c r="E46" s="29" t="str">
        <x:v>小山田桜台・多摩南部地域病院間バス</x:v>
      </x:c>
      <x:c r="F46" s="29" t="str">
        <x:v>固定路線バス</x:v>
      </x:c>
      <x:c r="G46" s="29" t="str">
        <x:v>2023基準</x:v>
      </x:c>
      <x:c r="H46" s="29" t="str">
        <x:v>小山田桜台・多摩南部地域病院間</x:v>
      </x:c>
      <x:c r="I46" s="29" t="str">
        <x:v>神奈川中央交通</x:v>
      </x:c>
      <x:c r="J46" s="29" t="str">
        <x:v>【運賃210円区間】 大人210円（障がい者割引適用110円）、小児110円（障がい者割引適用60円）（現金） 大人210円（障がい者割引適用110円）、小児50円（障がい者割引適用25円）（ＩＣ） 【運賃300円区間】 大人300円（障がい者割引適用150円）、小児150円（障がい者割引適用80円）（現金） 大人300円（障がい者割引適用150円）、小児50円（障がい者割引適用25円）（ＩＣ）</x:v>
      </x:c>
      <x:c r="K46" s="29" t="str">
        <x:v>2023年12月基準・現行要確認</x:v>
      </x:c>
      <x:c r="L46" s="29" t="str"/>
      <x:c r="M46" s="29" t="str">
        <x:v>有効・静的</x:v>
      </x:c>
      <x:c r="N46" s="29" t="str">
        <x:v>公開・キー不要</x:v>
      </x:c>
      <x:c r="O46" s="34" t="str">
        <x:v>https://api-public.odpt.org/api/v4/files/odpt/MachidaCity/AllLines.zip?date=current</x:v>
      </x:c>
      <x:c r="P46" s="29" t="str">
        <x:v>CC0 1.0</x:v>
      </x:c>
      <x:c r="Q46" s="32" t="n">
        <x:v>46099</x:v>
      </x:c>
      <x:c r="R46" s="32" t="n">
        <x:v>46843</x:v>
      </x:c>
      <x:c r="S46" s="29" t="str">
        <x:v>なし</x:v>
      </x:c>
      <x:c r="T46" s="34" t="str">
        <x:v>https://www.city.machida.tokyo.jp/kurashi/sumai/kotsu/index.html</x:v>
      </x:c>
      <x:c r="U46" s="34" t="str">
        <x:v>https://www.toshiseibi1.metro.tokyo.lg.jp/bunyabetsu/kotsu_butsuryu/pdf/index_koutuu_01.xlsx</x:v>
      </x:c>
      <x:c r="V46" s="32" t="n">
        <x:v>46256</x:v>
      </x:c>
      <x:c r="W46" s="29" t="str">
        <x:v>A</x:v>
      </x:c>
      <x:c r="X46" s="29" t="str">
        <x:v>F016</x:v>
      </x:c>
      <x:c r="Y46" s="29" t="str"/>
    </x:row>
    <x:row r="47" ht="60" customHeight="1">
      <x:c r="A47" s="29" t="str">
        <x:v>S044</x:v>
      </x:c>
      <x:c r="B47" s="29" t="str">
        <x:v>対象</x:v>
      </x:c>
      <x:c r="C47" s="29" t="str">
        <x:v>多摩市部</x:v>
      </x:c>
      <x:c r="D47" s="29" t="str">
        <x:v>小金井市</x:v>
      </x:c>
      <x:c r="E47" s="29" t="str">
        <x:v>ＣｏＣｏバス</x:v>
      </x:c>
      <x:c r="F47" s="29" t="str">
        <x:v>固定路線バス</x:v>
      </x:c>
      <x:c r="G47" s="29" t="str">
        <x:v>2023基準</x:v>
      </x:c>
      <x:c r="H47" s="29" t="str">
        <x:v>北東部循環／貫井前原循環／東町循環／中町循環／野川・七軒家循環</x:v>
      </x:c>
      <x:c r="I47" s="29" t="str">
        <x:v>京王バス／つくば観光交通</x:v>
      </x:c>
      <x:c r="J47" s="29" t="str">
        <x:v>現金：大人180円・小人90円 IC：大人178円・小人89円 ※障がい者は半額 65歳以上：100円／現金：大人180円・小人90円 ※障がい者は半額 65歳以上：100円</x:v>
      </x:c>
      <x:c r="K47" s="29" t="str">
        <x:v>2023年12月基準・現行要確認</x:v>
      </x:c>
      <x:c r="L47" s="29" t="str">
        <x:v>運行事業者の包括GTFS候補：京王バス。</x:v>
      </x:c>
      <x:c r="M47" s="29" t="str">
        <x:v>部分フィード</x:v>
      </x:c>
      <x:c r="N47" s="29" t="str">
        <x:v>ODPT利用登録・キー</x:v>
      </x:c>
      <x:c r="O47" s="34" t="str">
        <x:v>https://api.odpt.org/api/v4/files/odpt/TsukubaKankouKotsu/CoCoBusNogawa.zip?acl%3AconsumerKey=&amp;date=current</x:v>
      </x:c>
      <x:c r="P47" s="29" t="str">
        <x:v>ODPT利用規約</x:v>
      </x:c>
      <x:c r="Q47" s="32" t="n">
        <x:v>46110</x:v>
      </x:c>
      <x:c r="R47" s="32" t="n">
        <x:v>46477</x:v>
      </x:c>
      <x:c r="S47" s="29" t="str">
        <x:v>なし</x:v>
      </x:c>
      <x:c r="T47" s="34" t="str">
        <x:v>https://www.city.koganei.lg.jp/kurashi/482/buss/cocobus.html</x:v>
      </x:c>
      <x:c r="U47" s="34" t="str">
        <x:v>https://www.toshiseibi1.metro.tokyo.lg.jp/bunyabetsu/kotsu_butsuryu/pdf/index_koutuu_01.xlsx</x:v>
      </x:c>
      <x:c r="V47" s="32" t="n">
        <x:v>46256</x:v>
      </x:c>
      <x:c r="W47" s="29" t="str">
        <x:v>B</x:v>
      </x:c>
      <x:c r="X47" s="29" t="str">
        <x:v>F024</x:v>
      </x:c>
      <x:c r="Y47" s="29" t="str"/>
    </x:row>
    <x:row r="48" ht="60" customHeight="1">
      <x:c r="A48" s="29" t="str">
        <x:v>S045</x:v>
      </x:c>
      <x:c r="B48" s="29" t="str">
        <x:v>対象</x:v>
      </x:c>
      <x:c r="C48" s="29" t="str">
        <x:v>多摩市部</x:v>
      </x:c>
      <x:c r="D48" s="29" t="str">
        <x:v>小平市</x:v>
      </x:c>
      <x:c r="E48" s="29" t="str">
        <x:v>にじバス</x:v>
      </x:c>
      <x:c r="F48" s="29" t="str">
        <x:v>固定路線バス</x:v>
      </x:c>
      <x:c r="G48" s="29" t="str">
        <x:v>2023基準</x:v>
      </x:c>
      <x:c r="H48" s="29" t="str">
        <x:v>小平駅南口～一橋学園駅～中央公民館～津田公民館・図書館循環</x:v>
      </x:c>
      <x:c r="I48" s="29" t="str">
        <x:v>西武バス</x:v>
      </x:c>
      <x:c r="J48" s="29" t="str">
        <x:v>大人150円・小人80円</x:v>
      </x:c>
      <x:c r="K48" s="29" t="str">
        <x:v>2023年12月基準・現行要確認</x:v>
      </x:c>
      <x:c r="L48" s="29" t="str">
        <x:v>事業者包括GTFSから対象route_idの確定が必要。</x:v>
      </x:c>
      <x:c r="M48" s="29" t="str">
        <x:v>事業者包括候補</x:v>
      </x:c>
      <x:c r="N48" s="29" t="str">
        <x:v>ODPT利用登録・キー</x:v>
      </x:c>
      <x:c r="O48" s="34" t="str">
        <x:v>https://api.odpt.org/api/v4/files/SeibuBus/data/SeibuBus-GTFS.zip?acl%3AconsumerKey=</x:v>
      </x:c>
      <x:c r="P48" s="29" t="str">
        <x:v>ODPT利用規約</x:v>
      </x:c>
      <x:c r="Q48" s="32" t="n">
        <x:v>46235</x:v>
      </x:c>
      <x:c r="R48" s="32" t="n">
        <x:v>46326</x:v>
      </x:c>
      <x:c r="S48" s="29" t="str">
        <x:v>候補あり</x:v>
      </x:c>
      <x:c r="T48" s="34" t="str">
        <x:v>https://www.city.kodaira.tokyo.jp/kurashi/026/026920.html</x:v>
      </x:c>
      <x:c r="U48" s="34" t="str">
        <x:v>https://www.toshiseibi1.metro.tokyo.lg.jp/bunyabetsu/kotsu_butsuryu/pdf/index_koutuu_01.xlsx</x:v>
      </x:c>
      <x:c r="V48" s="32" t="n">
        <x:v>46256</x:v>
      </x:c>
      <x:c r="W48" s="29" t="str">
        <x:v>B</x:v>
      </x:c>
      <x:c r="X48" s="29" t="str">
        <x:v>OP002</x:v>
      </x:c>
      <x:c r="Y48" s="29" t="str"/>
    </x:row>
    <x:row r="49" ht="60" customHeight="1">
      <x:c r="A49" s="29" t="str">
        <x:v>S046</x:v>
      </x:c>
      <x:c r="B49" s="29" t="str">
        <x:v>対象</x:v>
      </x:c>
      <x:c r="C49" s="29" t="str">
        <x:v>多摩市部</x:v>
      </x:c>
      <x:c r="D49" s="29" t="str">
        <x:v>小平市</x:v>
      </x:c>
      <x:c r="E49" s="29" t="str">
        <x:v>ぶるべー号</x:v>
      </x:c>
      <x:c r="F49" s="29" t="str">
        <x:v>固定路線バス</x:v>
      </x:c>
      <x:c r="G49" s="29" t="str">
        <x:v>2023基準</x:v>
      </x:c>
      <x:c r="H49" s="29" t="str">
        <x:v>大沼ルート／栄町ルート／鈴木町ルート</x:v>
      </x:c>
      <x:c r="I49" s="29" t="str">
        <x:v>トーショー交通／小平交通</x:v>
      </x:c>
      <x:c r="J49" s="29" t="str">
        <x:v>大人150円・小人80円</x:v>
      </x:c>
      <x:c r="K49" s="29" t="str">
        <x:v>2023年12月基準・現行要確認</x:v>
      </x:c>
      <x:c r="L49" s="29" t="str"/>
      <x:c r="M49" s="29" t="str">
        <x:v>未確認／公開なし</x:v>
      </x:c>
      <x:c r="N49" s="29" t="str"/>
      <x:c r="O49" s="34" t="str"/>
      <x:c r="P49" s="29" t="str"/>
      <x:c r="Q49" s="32"/>
      <x:c r="R49" s="32"/>
      <x:c r="S49" s="29" t="str">
        <x:v>なし／未確認</x:v>
      </x:c>
      <x:c r="T49" s="34" t="str">
        <x:v>https://www.city.kodaira.tokyo.jp/kurashi/026/026920.html</x:v>
      </x:c>
      <x:c r="U49" s="34" t="str">
        <x:v>https://www.toshiseibi1.metro.tokyo.lg.jp/bunyabetsu/kotsu_butsuryu/pdf/index_koutuu_01.xlsx</x:v>
      </x:c>
      <x:c r="V49" s="32" t="n">
        <x:v>46256</x:v>
      </x:c>
      <x:c r="W49" s="29" t="str">
        <x:v>C</x:v>
      </x:c>
      <x:c r="X49" s="29" t="str"/>
      <x:c r="Y49" s="29" t="str"/>
    </x:row>
    <x:row r="50" ht="60" customHeight="1">
      <x:c r="A50" s="29" t="str">
        <x:v>S047</x:v>
      </x:c>
      <x:c r="B50" s="29" t="str">
        <x:v>対象</x:v>
      </x:c>
      <x:c r="C50" s="29" t="str">
        <x:v>多摩市部</x:v>
      </x:c>
      <x:c r="D50" s="29" t="str">
        <x:v>日野市</x:v>
      </x:c>
      <x:c r="E50" s="29" t="str">
        <x:v>日野市ミニバス</x:v>
      </x:c>
      <x:c r="F50" s="29" t="str">
        <x:v>固定路線バス</x:v>
      </x:c>
      <x:c r="G50" s="29" t="str">
        <x:v>2023基準</x:v>
      </x:c>
      <x:c r="H50" s="29" t="str">
        <x:v>市内路線／旭が丘循環路線／南平路線／三沢台路線／平山循環路線／落川路線／川辺堀之内路線</x:v>
      </x:c>
      <x:c r="I50" s="29" t="str">
        <x:v>京王バス／京王電鉄バス</x:v>
      </x:c>
      <x:c r="J50" s="29" t="str">
        <x:v>京王バス料金に準ずる（対距離制)</x:v>
      </x:c>
      <x:c r="K50" s="29" t="str">
        <x:v>2023年12月基準・現行要確認</x:v>
      </x:c>
      <x:c r="L50" s="29" t="str">
        <x:v>事業者包括GTFSから対象route_idの確定が必要。</x:v>
      </x:c>
      <x:c r="M50" s="29" t="str">
        <x:v>事業者包括候補</x:v>
      </x:c>
      <x:c r="N50" s="29" t="str">
        <x:v>ODPT利用登録・キー</x:v>
      </x:c>
      <x:c r="O50" s="34" t="str">
        <x:v>https://api.odpt.org/api/v4/files/odpt/KeioBus/AllLines.zip?acl%3AconsumerKey=&amp;date=current</x:v>
      </x:c>
      <x:c r="P50" s="29" t="str">
        <x:v>ODPT利用規約</x:v>
      </x:c>
      <x:c r="Q50" s="32" t="n">
        <x:v>46243</x:v>
      </x:c>
      <x:c r="R50" s="32" t="n">
        <x:v>46387</x:v>
      </x:c>
      <x:c r="S50" s="29" t="str">
        <x:v>候補あり</x:v>
      </x:c>
      <x:c r="T50" s="34" t="str">
        <x:v>https://www.city.hino.lg.jp/shisei/machidukuri/kotsu/kaigi/1011755.html</x:v>
      </x:c>
      <x:c r="U50" s="34" t="str">
        <x:v>https://www.toshiseibi1.metro.tokyo.lg.jp/bunyabetsu/kotsu_butsuryu/pdf/index_koutuu_01.xlsx</x:v>
      </x:c>
      <x:c r="V50" s="32" t="n">
        <x:v>46256</x:v>
      </x:c>
      <x:c r="W50" s="29" t="str">
        <x:v>B</x:v>
      </x:c>
      <x:c r="X50" s="29" t="str">
        <x:v>OP001</x:v>
      </x:c>
      <x:c r="Y50" s="29" t="str"/>
    </x:row>
    <x:row r="51" ht="60" customHeight="1">
      <x:c r="A51" s="29" t="str">
        <x:v>S048</x:v>
      </x:c>
      <x:c r="B51" s="29" t="str">
        <x:v>対象</x:v>
      </x:c>
      <x:c r="C51" s="29" t="str">
        <x:v>多摩市部</x:v>
      </x:c>
      <x:c r="D51" s="29" t="str">
        <x:v>日野市</x:v>
      </x:c>
      <x:c r="E51" s="29" t="str">
        <x:v>丘陵地ワゴンタクシー かわせみゴー</x:v>
      </x:c>
      <x:c r="F51" s="29" t="str">
        <x:v>乗合タクシー・ワゴン</x:v>
      </x:c>
      <x:c r="G51" s="29" t="str">
        <x:v>2023基準</x:v>
      </x:c>
      <x:c r="H51" s="29" t="str">
        <x:v>明星ルート／平山ルート</x:v>
      </x:c>
      <x:c r="I51" s="29" t="str">
        <x:v>南観光交通</x:v>
      </x:c>
      <x:c r="J51" s="29" t="str">
        <x:v>大人200円 小児100円</x:v>
      </x:c>
      <x:c r="K51" s="29" t="str">
        <x:v>2023年12月基準・現行要確認</x:v>
      </x:c>
      <x:c r="L51" s="29" t="str"/>
      <x:c r="M51" s="29" t="str">
        <x:v>未確認／公開なし</x:v>
      </x:c>
      <x:c r="N51" s="29" t="str"/>
      <x:c r="O51" s="34" t="str"/>
      <x:c r="P51" s="29" t="str"/>
      <x:c r="Q51" s="32"/>
      <x:c r="R51" s="32"/>
      <x:c r="S51" s="29" t="str">
        <x:v>なし／未確認</x:v>
      </x:c>
      <x:c r="T51" s="34" t="str">
        <x:v>https://www.city.hino.lg.jp/shisei/machidukuri/kotsu/kaigi/1011755.html</x:v>
      </x:c>
      <x:c r="U51" s="34" t="str">
        <x:v>https://www.toshiseibi1.metro.tokyo.lg.jp/bunyabetsu/kotsu_butsuryu/pdf/index_koutuu_01.xlsx</x:v>
      </x:c>
      <x:c r="V51" s="32" t="n">
        <x:v>46256</x:v>
      </x:c>
      <x:c r="W51" s="29" t="str">
        <x:v>C</x:v>
      </x:c>
      <x:c r="X51" s="29" t="str"/>
      <x:c r="Y51" s="29" t="str"/>
    </x:row>
    <x:row r="52" ht="60" customHeight="1">
      <x:c r="A52" s="29" t="str">
        <x:v>S049</x:v>
      </x:c>
      <x:c r="B52" s="29" t="str">
        <x:v>対象</x:v>
      </x:c>
      <x:c r="C52" s="29" t="str">
        <x:v>多摩市部</x:v>
      </x:c>
      <x:c r="D52" s="29" t="str">
        <x:v>東村山市</x:v>
      </x:c>
      <x:c r="E52" s="29" t="str">
        <x:v>グリーンバス</x:v>
      </x:c>
      <x:c r="F52" s="29" t="str">
        <x:v>固定路線バス</x:v>
      </x:c>
      <x:c r="G52" s="29" t="str">
        <x:v>2023基準</x:v>
      </x:c>
      <x:c r="H52" s="29" t="str">
        <x:v>東村山駅東口～多摩北部医療センター～新秋津駅／久米川町循環／諏訪町循環／東村山駅西口～久米川駅南口</x:v>
      </x:c>
      <x:c r="I52" s="29" t="str">
        <x:v>西武バス</x:v>
      </x:c>
      <x:c r="J52" s="29" t="str">
        <x:v>現金：大人180円・小児 90円 ＩＣ：大人178円・小児 89円</x:v>
      </x:c>
      <x:c r="K52" s="29" t="str">
        <x:v>2023年12月基準・現行要確認</x:v>
      </x:c>
      <x:c r="L52" s="29" t="str">
        <x:v>運行事業者の包括GTFS候補：西武バス。</x:v>
      </x:c>
      <x:c r="M52" s="29" t="str">
        <x:v>有効・静的</x:v>
      </x:c>
      <x:c r="N52" s="29" t="str">
        <x:v>公開・キー不要</x:v>
      </x:c>
      <x:c r="O52" s="34" t="str">
        <x:v>https://api-public.odpt.org/api/v4/files/odpt/HigashiMurayamaCity/Alllines.zip?date=current</x:v>
      </x:c>
      <x:c r="P52" s="29" t="str">
        <x:v>CC BY 4.0</x:v>
      </x:c>
      <x:c r="Q52" s="32" t="n">
        <x:v>46128</x:v>
      </x:c>
      <x:c r="R52" s="32" t="n">
        <x:v>46843</x:v>
      </x:c>
      <x:c r="S52" s="29" t="str">
        <x:v>なし</x:v>
      </x:c>
      <x:c r="T52" s="34" t="str">
        <x:v>https://www.city.higashimurayama.tokyo.jp/kurashi/sumai/bus/index.html</x:v>
      </x:c>
      <x:c r="U52" s="34" t="str">
        <x:v>https://www.toshiseibi1.metro.tokyo.lg.jp/bunyabetsu/kotsu_butsuryu/pdf/index_koutuu_01.xlsx</x:v>
      </x:c>
      <x:c r="V52" s="32" t="n">
        <x:v>46256</x:v>
      </x:c>
      <x:c r="W52" s="29" t="str">
        <x:v>A</x:v>
      </x:c>
      <x:c r="X52" s="29" t="str">
        <x:v>F015</x:v>
      </x:c>
      <x:c r="Y52" s="29" t="str"/>
    </x:row>
    <x:row r="53" ht="60" customHeight="1">
      <x:c r="A53" s="29" t="str">
        <x:v>S050</x:v>
      </x:c>
      <x:c r="B53" s="29" t="str">
        <x:v>対象</x:v>
      </x:c>
      <x:c r="C53" s="29" t="str">
        <x:v>多摩市部</x:v>
      </x:c>
      <x:c r="D53" s="29" t="str">
        <x:v>国分寺市</x:v>
      </x:c>
      <x:c r="E53" s="29" t="str">
        <x:v>国分寺市地域バス （ぶんバス）</x:v>
      </x:c>
      <x:c r="F53" s="29" t="str">
        <x:v>固定路線バス</x:v>
      </x:c>
      <x:c r="G53" s="29" t="str">
        <x:v>2023基準</x:v>
      </x:c>
      <x:c r="H53" s="29" t="str">
        <x:v>日吉町ルート／東元町ルート／本多ルート／西町ルート／北町ルート／万葉・けやきルート</x:v>
      </x:c>
      <x:c r="I53" s="29" t="str">
        <x:v>京王バス／立川バス／武州交通興業</x:v>
      </x:c>
      <x:c r="J53" s="29" t="str">
        <x:v>大人・小人 一回 100円 （未就学児無料）</x:v>
      </x:c>
      <x:c r="K53" s="29" t="str">
        <x:v>2023年12月基準・現行要確認</x:v>
      </x:c>
      <x:c r="L53" s="29" t="str">
        <x:v>運行事業者の包括GTFS候補：京王バス。</x:v>
      </x:c>
      <x:c r="M53" s="29" t="str">
        <x:v>有効・静的</x:v>
      </x:c>
      <x:c r="N53" s="29" t="str">
        <x:v>公開・キー不要</x:v>
      </x:c>
      <x:c r="O53" s="34" t="str">
        <x:v>https://api-public.odpt.org/api/v4/files/odpt/KokubunjiCity/kokubunji_city_bunbus.zip?date=current</x:v>
      </x:c>
      <x:c r="P53" s="29" t="str">
        <x:v>CC BY 4.0</x:v>
      </x:c>
      <x:c r="Q53" s="32" t="n">
        <x:v>46017</x:v>
      </x:c>
      <x:c r="R53" s="32" t="n">
        <x:v>46568</x:v>
      </x:c>
      <x:c r="S53" s="29" t="str">
        <x:v>なし</x:v>
      </x:c>
      <x:c r="T53" s="34" t="str">
        <x:v>https://www.city.kokubunji.tokyo.jp/kurashi/koutsuu/bus/1012086.html</x:v>
      </x:c>
      <x:c r="U53" s="34" t="str">
        <x:v>https://www.toshiseibi1.metro.tokyo.lg.jp/bunyabetsu/kotsu_butsuryu/pdf/index_koutuu_01.xlsx</x:v>
      </x:c>
      <x:c r="V53" s="32" t="n">
        <x:v>46256</x:v>
      </x:c>
      <x:c r="W53" s="29" t="str">
        <x:v>A</x:v>
      </x:c>
      <x:c r="X53" s="29" t="str">
        <x:v>F010</x:v>
      </x:c>
      <x:c r="Y53" s="29" t="str"/>
    </x:row>
    <x:row r="54" ht="60" customHeight="1">
      <x:c r="A54" s="29" t="str">
        <x:v>S051</x:v>
      </x:c>
      <x:c r="B54" s="29" t="str">
        <x:v>対象</x:v>
      </x:c>
      <x:c r="C54" s="29" t="str">
        <x:v>多摩市部</x:v>
      </x:c>
      <x:c r="D54" s="29" t="str">
        <x:v>国立市</x:v>
      </x:c>
      <x:c r="E54" s="29" t="str">
        <x:v>くにっこ</x:v>
      </x:c>
      <x:c r="F54" s="29" t="str">
        <x:v>固定路線バス</x:v>
      </x:c>
      <x:c r="G54" s="29" t="str">
        <x:v>2023基準</x:v>
      </x:c>
      <x:c r="H54" s="29" t="str">
        <x:v>北ルート（朝・夕のみ北西中ルートの一部を往復）、北西中ルート</x:v>
      </x:c>
      <x:c r="I54" s="29" t="str">
        <x:v>立川バス</x:v>
      </x:c>
      <x:c r="J54" s="29" t="str">
        <x:v>180円</x:v>
      </x:c>
      <x:c r="K54" s="29" t="str">
        <x:v>2023年12月基準・現行要確認</x:v>
      </x:c>
      <x:c r="L54" s="29" t="str"/>
      <x:c r="M54" s="29" t="str">
        <x:v>有効・静的</x:v>
      </x:c>
      <x:c r="N54" s="29" t="str">
        <x:v>公開・キー不要</x:v>
      </x:c>
      <x:c r="O54" s="34" t="str">
        <x:v>https://api.gtfs-data.jp/v2/organizations/kunitachicity/feeds/kunikko/files/feed.zip</x:v>
      </x:c>
      <x:c r="P54" s="29" t="str">
        <x:v>CC0 1.0</x:v>
      </x:c>
      <x:c r="Q54" s="32" t="n">
        <x:v>46182</x:v>
      </x:c>
      <x:c r="R54" s="32" t="n">
        <x:v>46568</x:v>
      </x:c>
      <x:c r="S54" s="29" t="str">
        <x:v>なし</x:v>
      </x:c>
      <x:c r="T54" s="34" t="str">
        <x:v>https://www.city.kunitachi.tokyo.jp/kurashi/kotsu/3/index.html</x:v>
      </x:c>
      <x:c r="U54" s="34" t="str">
        <x:v>https://www.toshiseibi1.metro.tokyo.lg.jp/bunyabetsu/kotsu_butsuryu/pdf/index_koutuu_01.xlsx</x:v>
      </x:c>
      <x:c r="V54" s="32" t="n">
        <x:v>46256</x:v>
      </x:c>
      <x:c r="W54" s="29" t="str">
        <x:v>A</x:v>
      </x:c>
      <x:c r="X54" s="29" t="str">
        <x:v>F011</x:v>
      </x:c>
      <x:c r="Y54" s="29" t="str"/>
    </x:row>
    <x:row r="55" ht="60" customHeight="1">
      <x:c r="A55" s="29" t="str">
        <x:v>S052</x:v>
      </x:c>
      <x:c r="B55" s="29" t="str">
        <x:v>対象</x:v>
      </x:c>
      <x:c r="C55" s="29" t="str">
        <x:v>多摩市部</x:v>
      </x:c>
      <x:c r="D55" s="29" t="str">
        <x:v>国立市</x:v>
      </x:c>
      <x:c r="E55" s="29" t="str">
        <x:v>あおやぎっこ</x:v>
      </x:c>
      <x:c r="F55" s="29" t="str">
        <x:v>コミュニティワゴン</x:v>
      </x:c>
      <x:c r="G55" s="29" t="str">
        <x:v>2023基準</x:v>
      </x:c>
      <x:c r="H55" s="29" t="str">
        <x:v>青柳ルート</x:v>
      </x:c>
      <x:c r="I55" s="29" t="str">
        <x:v>銀星交通</x:v>
      </x:c>
      <x:c r="J55" s="29" t="str">
        <x:v>200円</x:v>
      </x:c>
      <x:c r="K55" s="29" t="str">
        <x:v>2023年12月基準・現行要確認</x:v>
      </x:c>
      <x:c r="L55" s="29" t="str"/>
      <x:c r="M55" s="29" t="str">
        <x:v>有効・静的</x:v>
      </x:c>
      <x:c r="N55" s="29" t="str">
        <x:v>公開・キー不要</x:v>
      </x:c>
      <x:c r="O55" s="34" t="str">
        <x:v>https://api.gtfs-data.jp/v2/organizations/kunitachicity/feeds/aoyagikko/files/feed.zip</x:v>
      </x:c>
      <x:c r="P55" s="29" t="str">
        <x:v>CC BY 4.0</x:v>
      </x:c>
      <x:c r="Q55" s="32" t="n">
        <x:v>46043</x:v>
      </x:c>
      <x:c r="R55" s="32" t="n">
        <x:v>46399</x:v>
      </x:c>
      <x:c r="S55" s="29" t="str">
        <x:v>なし</x:v>
      </x:c>
      <x:c r="T55" s="34" t="str">
        <x:v>https://www.city.kunitachi.tokyo.jp/kurashi/kotsu/3/index.html</x:v>
      </x:c>
      <x:c r="U55" s="34" t="str">
        <x:v>https://www.toshiseibi1.metro.tokyo.lg.jp/bunyabetsu/kotsu_butsuryu/pdf/index_koutuu_01.xlsx</x:v>
      </x:c>
      <x:c r="V55" s="32" t="n">
        <x:v>46256</x:v>
      </x:c>
      <x:c r="W55" s="29" t="str">
        <x:v>C</x:v>
      </x:c>
      <x:c r="X55" s="29" t="str">
        <x:v>F012</x:v>
      </x:c>
      <x:c r="Y55" s="29" t="str"/>
    </x:row>
    <x:row r="56" ht="60" customHeight="1">
      <x:c r="A56" s="29" t="str">
        <x:v>S053</x:v>
      </x:c>
      <x:c r="B56" s="29" t="str">
        <x:v>対象</x:v>
      </x:c>
      <x:c r="C56" s="29" t="str">
        <x:v>多摩市部</x:v>
      </x:c>
      <x:c r="D56" s="29" t="str">
        <x:v>狛江市</x:v>
      </x:c>
      <x:c r="E56" s="29" t="str">
        <x:v>こまバス</x:v>
      </x:c>
      <x:c r="F56" s="29" t="str">
        <x:v>固定路線バス</x:v>
      </x:c>
      <x:c r="G56" s="29" t="str">
        <x:v>2023基準</x:v>
      </x:c>
      <x:c r="H56" s="29" t="str">
        <x:v>北ルート／南ルート</x:v>
      </x:c>
      <x:c r="I56" s="29" t="str">
        <x:v>小田急バス</x:v>
      </x:c>
      <x:c r="J56" s="29" t="str">
        <x:v>大人200円 小人100円</x:v>
      </x:c>
      <x:c r="K56" s="29" t="str">
        <x:v>2023年12月基準・現行要確認</x:v>
      </x:c>
      <x:c r="L56" s="29" t="str">
        <x:v>事業者包括GTFSから対象route_idの確定が必要。</x:v>
      </x:c>
      <x:c r="M56" s="29" t="str">
        <x:v>事業者包括候補</x:v>
      </x:c>
      <x:c r="N56" s="29" t="str">
        <x:v>ODPT利用登録・キー</x:v>
      </x:c>
      <x:c r="O56" s="34" t="str">
        <x:v>https://api.odpt.org/api/v4/files/odpt/OdakyuBus/AIILines.zip?acl%3AconsumerKey=&amp;date=current</x:v>
      </x:c>
      <x:c r="P56" s="29" t="str">
        <x:v>ODPT利用規約</x:v>
      </x:c>
      <x:c r="Q56" s="32" t="n">
        <x:v>46215</x:v>
      </x:c>
      <x:c r="R56" s="32"/>
      <x:c r="S56" s="29" t="str">
        <x:v>なし／未確認</x:v>
      </x:c>
      <x:c r="T56" s="34" t="str">
        <x:v>https://www.city.komae.tokyo.jp/index.cfm/46,0,358,2127,html</x:v>
      </x:c>
      <x:c r="U56" s="34" t="str">
        <x:v>https://www.toshiseibi1.metro.tokyo.lg.jp/bunyabetsu/kotsu_butsuryu/pdf/index_koutuu_01.xlsx</x:v>
      </x:c>
      <x:c r="V56" s="32" t="n">
        <x:v>46256</x:v>
      </x:c>
      <x:c r="W56" s="29" t="str">
        <x:v>B</x:v>
      </x:c>
      <x:c r="X56" s="29" t="str">
        <x:v>OP005</x:v>
      </x:c>
      <x:c r="Y56" s="29" t="str"/>
    </x:row>
    <x:row r="57" ht="60" customHeight="1">
      <x:c r="A57" s="29" t="str">
        <x:v>S054</x:v>
      </x:c>
      <x:c r="B57" s="29" t="str">
        <x:v>対象</x:v>
      </x:c>
      <x:c r="C57" s="29" t="str">
        <x:v>多摩市部</x:v>
      </x:c>
      <x:c r="D57" s="29" t="str">
        <x:v>東大和市</x:v>
      </x:c>
      <x:c r="E57" s="29" t="str">
        <x:v>ちょこバス</x:v>
      </x:c>
      <x:c r="F57" s="29" t="str">
        <x:v>固定路線バス</x:v>
      </x:c>
      <x:c r="G57" s="29" t="str">
        <x:v>2023基準</x:v>
      </x:c>
      <x:c r="H57" s="29" t="str">
        <x:v>循環ルート／往復ルート</x:v>
      </x:c>
      <x:c r="I57" s="29" t="str">
        <x:v>西武バス</x:v>
      </x:c>
      <x:c r="J57" s="29" t="str">
        <x:v>大人180（IC:178）円 小人 90（IC:89）円</x:v>
      </x:c>
      <x:c r="K57" s="29" t="str">
        <x:v>2023年12月基準・現行要確認</x:v>
      </x:c>
      <x:c r="L57" s="29" t="str">
        <x:v>運行事業者の包括GTFS候補：西武バス。</x:v>
      </x:c>
      <x:c r="M57" s="29" t="str">
        <x:v>有効・静的</x:v>
      </x:c>
      <x:c r="N57" s="29" t="str">
        <x:v>公開・キー不要</x:v>
      </x:c>
      <x:c r="O57" s="34" t="str">
        <x:v>https://api-public.odpt.org/api/v4/files/odpt/HigashiyamatoCity/AllLines_CC0.zip?date=current</x:v>
      </x:c>
      <x:c r="P57" s="29" t="str">
        <x:v>CC0 1.0</x:v>
      </x:c>
      <x:c r="Q57" s="32" t="n">
        <x:v>46122</x:v>
      </x:c>
      <x:c r="R57" s="32" t="n">
        <x:v>46477</x:v>
      </x:c>
      <x:c r="S57" s="29" t="str">
        <x:v>なし</x:v>
      </x:c>
      <x:c r="T57" s="34" t="str">
        <x:v>https://www.city.higashiyamato.lg.jp/kurashi/dorokotsu/1002085/index.html</x:v>
      </x:c>
      <x:c r="U57" s="34" t="str">
        <x:v>https://www.toshiseibi1.metro.tokyo.lg.jp/bunyabetsu/kotsu_butsuryu/pdf/index_koutuu_01.xlsx</x:v>
      </x:c>
      <x:c r="V57" s="32" t="n">
        <x:v>46256</x:v>
      </x:c>
      <x:c r="W57" s="29" t="str">
        <x:v>A</x:v>
      </x:c>
      <x:c r="X57" s="29" t="str">
        <x:v>F026</x:v>
      </x:c>
      <x:c r="Y57" s="29" t="str"/>
    </x:row>
    <x:row r="58" ht="60" customHeight="1">
      <x:c r="A58" s="29" t="str">
        <x:v>S055</x:v>
      </x:c>
      <x:c r="B58" s="29" t="str">
        <x:v>対象</x:v>
      </x:c>
      <x:c r="C58" s="29" t="str">
        <x:v>多摩市部</x:v>
      </x:c>
      <x:c r="D58" s="29" t="str">
        <x:v>清瀬市</x:v>
      </x:c>
      <x:c r="E58" s="29" t="str">
        <x:v>きよバス</x:v>
      </x:c>
      <x:c r="F58" s="29" t="str">
        <x:v>固定路線バス</x:v>
      </x:c>
      <x:c r="G58" s="29" t="str">
        <x:v>2023基準</x:v>
      </x:c>
      <x:c r="H58" s="29" t="str">
        <x:v>志木街道経由／緑蔭通り経由</x:v>
      </x:c>
      <x:c r="I58" s="29" t="str">
        <x:v>西武バス</x:v>
      </x:c>
      <x:c r="J58" s="29" t="str">
        <x:v>現金：大人180円、小児 90円 ＩＣ：大人178円、小児 89円</x:v>
      </x:c>
      <x:c r="K58" s="29" t="str">
        <x:v>2023年12月基準・現行要確認</x:v>
      </x:c>
      <x:c r="L58" s="29" t="str">
        <x:v>運行事業者の包括GTFS候補：西武バス。</x:v>
      </x:c>
      <x:c r="M58" s="29" t="str">
        <x:v>有効・RTあり</x:v>
      </x:c>
      <x:c r="N58" s="29" t="str">
        <x:v>公開・キー不要</x:v>
      </x:c>
      <x:c r="O58" s="34" t="str">
        <x:v>https://api-public.odpt.org/api/v4/files/odpt/KiyoseCity/KiyoBus.zip?date=current</x:v>
      </x:c>
      <x:c r="P58" s="29" t="str">
        <x:v>CC BY 4.0</x:v>
      </x:c>
      <x:c r="Q58" s="32" t="n">
        <x:v>46114</x:v>
      </x:c>
      <x:c r="R58" s="32" t="n">
        <x:v>46477</x:v>
      </x:c>
      <x:c r="S58" s="29" t="str">
        <x:v>あり</x:v>
      </x:c>
      <x:c r="T58" s="34" t="str">
        <x:v>https://www.city.kiyose.lg.jp/kurashi/sumaidourokoutuu/communitybus/1003943.html</x:v>
      </x:c>
      <x:c r="U58" s="34" t="str">
        <x:v>https://www.toshiseibi1.metro.tokyo.lg.jp/bunyabetsu/kotsu_butsuryu/pdf/index_koutuu_01.xlsx</x:v>
      </x:c>
      <x:c r="V58" s="32" t="n">
        <x:v>46256</x:v>
      </x:c>
      <x:c r="W58" s="29" t="str">
        <x:v>A</x:v>
      </x:c>
      <x:c r="X58" s="29" t="str">
        <x:v>F013</x:v>
      </x:c>
      <x:c r="Y58" s="29" t="str"/>
    </x:row>
    <x:row r="59" ht="60" customHeight="1">
      <x:c r="A59" s="29" t="str">
        <x:v>S056</x:v>
      </x:c>
      <x:c r="B59" s="29" t="str">
        <x:v>対象</x:v>
      </x:c>
      <x:c r="C59" s="29" t="str">
        <x:v>多摩市部</x:v>
      </x:c>
      <x:c r="D59" s="29" t="str">
        <x:v>東久留米市</x:v>
      </x:c>
      <x:c r="E59" s="29" t="str">
        <x:v>東久留米市 デマンド型交通 「くるぶー」</x:v>
      </x:c>
      <x:c r="F59" s="29" t="str">
        <x:v>デマンド交通</x:v>
      </x:c>
      <x:c r="G59" s="29" t="str">
        <x:v>2023基準</x:v>
      </x:c>
      <x:c r="H59" s="29" t="str">
        <x:v>自宅⇔乗降場（32か所）</x:v>
      </x:c>
      <x:c r="I59" s="29" t="str">
        <x:v>トーショー交通</x:v>
      </x:c>
      <x:c r="J59" s="29" t="str">
        <x:v>500円</x:v>
      </x:c>
      <x:c r="K59" s="29" t="str">
        <x:v>2023年12月基準・現行要確認</x:v>
      </x:c>
      <x:c r="L59" s="29" t="str"/>
      <x:c r="M59" s="29" t="str">
        <x:v>未確認／公開なし</x:v>
      </x:c>
      <x:c r="N59" s="29" t="str"/>
      <x:c r="O59" s="34" t="str"/>
      <x:c r="P59" s="29" t="str"/>
      <x:c r="Q59" s="32"/>
      <x:c r="R59" s="32"/>
      <x:c r="S59" s="29" t="str">
        <x:v>なし／未確認</x:v>
      </x:c>
      <x:c r="T59" s="34" t="str">
        <x:v>https://www.city.higashikurume.lg.jp/kurashi/kurashi/1014874/index.html</x:v>
      </x:c>
      <x:c r="U59" s="34" t="str">
        <x:v>https://www.toshiseibi1.metro.tokyo.lg.jp/bunyabetsu/kotsu_butsuryu/pdf/index_koutuu_01.xlsx</x:v>
      </x:c>
      <x:c r="V59" s="32" t="n">
        <x:v>46256</x:v>
      </x:c>
      <x:c r="W59" s="29" t="str">
        <x:v>C</x:v>
      </x:c>
      <x:c r="X59" s="29" t="str"/>
      <x:c r="Y59" s="29" t="str"/>
    </x:row>
    <x:row r="60" ht="60" customHeight="1">
      <x:c r="A60" s="29" t="str">
        <x:v>S057</x:v>
      </x:c>
      <x:c r="B60" s="29" t="str">
        <x:v>対象</x:v>
      </x:c>
      <x:c r="C60" s="29" t="str">
        <x:v>多摩市部</x:v>
      </x:c>
      <x:c r="D60" s="29" t="str">
        <x:v>武蔵村山市</x:v>
      </x:c>
      <x:c r="E60" s="29" t="str">
        <x:v>MMシャトル</x:v>
      </x:c>
      <x:c r="F60" s="29" t="str">
        <x:v>固定路線バス</x:v>
      </x:c>
      <x:c r="G60" s="29" t="str">
        <x:v>2023基準</x:v>
      </x:c>
      <x:c r="H60" s="29" t="str">
        <x:v>上北台ルート／玉川上水ルート</x:v>
      </x:c>
      <x:c r="I60" s="29" t="str">
        <x:v>立川バス</x:v>
      </x:c>
      <x:c r="J60" s="29" t="str">
        <x:v>現金大人180円・小人90円・大人（障害あり）90円・小人（障害あり）50円</x:v>
      </x:c>
      <x:c r="K60" s="29" t="str">
        <x:v>2023年12月基準・現行要確認</x:v>
      </x:c>
      <x:c r="L60" s="29" t="str"/>
      <x:c r="M60" s="29" t="str">
        <x:v>未確認／公開なし</x:v>
      </x:c>
      <x:c r="N60" s="29" t="str"/>
      <x:c r="O60" s="34" t="str"/>
      <x:c r="P60" s="29" t="str"/>
      <x:c r="Q60" s="32"/>
      <x:c r="R60" s="32"/>
      <x:c r="S60" s="29" t="str">
        <x:v>なし／未確認</x:v>
      </x:c>
      <x:c r="T60" s="34" t="str">
        <x:v>https://www.city.musashimurayama.lg.jp/kurashi/koutsu/koukyoukoutu/index.html</x:v>
      </x:c>
      <x:c r="U60" s="34" t="str">
        <x:v>https://www.toshiseibi1.metro.tokyo.lg.jp/bunyabetsu/kotsu_butsuryu/pdf/index_koutuu_01.xlsx</x:v>
      </x:c>
      <x:c r="V60" s="32" t="n">
        <x:v>46256</x:v>
      </x:c>
      <x:c r="W60" s="29" t="str">
        <x:v>C</x:v>
      </x:c>
      <x:c r="X60" s="29" t="str"/>
      <x:c r="Y60" s="29" t="str"/>
    </x:row>
    <x:row r="61" ht="60" customHeight="1">
      <x:c r="A61" s="29" t="str">
        <x:v>S058</x:v>
      </x:c>
      <x:c r="B61" s="29" t="str">
        <x:v>対象</x:v>
      </x:c>
      <x:c r="C61" s="29" t="str">
        <x:v>多摩市部</x:v>
      </x:c>
      <x:c r="D61" s="29" t="str">
        <x:v>武蔵村山市</x:v>
      </x:c>
      <x:c r="E61" s="29" t="str">
        <x:v>むらタク</x:v>
      </x:c>
      <x:c r="F61" s="29" t="str">
        <x:v>デマンド交通</x:v>
      </x:c>
      <x:c r="G61" s="29" t="str">
        <x:v>2023基準</x:v>
      </x:c>
      <x:c r="H61" s="29" t="str">
        <x:v>区域運行 （自宅⇔16か所の乗降場所）</x:v>
      </x:c>
      <x:c r="I61" s="29" t="str">
        <x:v>村山運送</x:v>
      </x:c>
      <x:c r="J61" s="29" t="str">
        <x:v>一般 300円 障害者手帳等所持者、シルバーパス所持者、介助者、小学生 150円</x:v>
      </x:c>
      <x:c r="K61" s="29" t="str">
        <x:v>2023年12月基準・現行要確認</x:v>
      </x:c>
      <x:c r="L61" s="29" t="str"/>
      <x:c r="M61" s="29" t="str">
        <x:v>未確認／公開なし</x:v>
      </x:c>
      <x:c r="N61" s="29" t="str"/>
      <x:c r="O61" s="34" t="str"/>
      <x:c r="P61" s="29" t="str"/>
      <x:c r="Q61" s="32"/>
      <x:c r="R61" s="32"/>
      <x:c r="S61" s="29" t="str">
        <x:v>なし／未確認</x:v>
      </x:c>
      <x:c r="T61" s="34" t="str">
        <x:v>https://www.city.musashimurayama.lg.jp/kurashi/koutsu/koukyoukoutu/index.html</x:v>
      </x:c>
      <x:c r="U61" s="34" t="str">
        <x:v>https://www.toshiseibi1.metro.tokyo.lg.jp/bunyabetsu/kotsu_butsuryu/pdf/index_koutuu_01.xlsx</x:v>
      </x:c>
      <x:c r="V61" s="32" t="n">
        <x:v>46256</x:v>
      </x:c>
      <x:c r="W61" s="29" t="str">
        <x:v>C</x:v>
      </x:c>
      <x:c r="X61" s="29" t="str"/>
      <x:c r="Y61" s="29" t="str"/>
    </x:row>
    <x:row r="62" ht="60" customHeight="1">
      <x:c r="A62" s="29" t="str">
        <x:v>S059</x:v>
      </x:c>
      <x:c r="B62" s="29" t="str">
        <x:v>対象</x:v>
      </x:c>
      <x:c r="C62" s="29" t="str">
        <x:v>多摩市部</x:v>
      </x:c>
      <x:c r="D62" s="29" t="str">
        <x:v>多摩市</x:v>
      </x:c>
      <x:c r="E62" s="29" t="str">
        <x:v>ミニバス</x:v>
      </x:c>
      <x:c r="F62" s="29" t="str">
        <x:v>固定路線バス</x:v>
      </x:c>
      <x:c r="G62" s="29" t="str">
        <x:v>2023基準</x:v>
      </x:c>
      <x:c r="H62" s="29" t="str">
        <x:v>東西線／南北線</x:v>
      </x:c>
      <x:c r="I62" s="29" t="str">
        <x:v>京王バス</x:v>
      </x:c>
      <x:c r="J62" s="29" t="str">
        <x:v>２００～５２０円／２００～２４０円</x:v>
      </x:c>
      <x:c r="K62" s="29" t="str">
        <x:v>2023年12月基準・現行要確認</x:v>
      </x:c>
      <x:c r="L62" s="29" t="str">
        <x:v>事業者包括GTFSから対象route_idの確定が必要。</x:v>
      </x:c>
      <x:c r="M62" s="29" t="str">
        <x:v>事業者包括候補</x:v>
      </x:c>
      <x:c r="N62" s="29" t="str">
        <x:v>ODPT利用登録・キー</x:v>
      </x:c>
      <x:c r="O62" s="34" t="str">
        <x:v>https://api.odpt.org/api/v4/files/odpt/KeioBus/AllLines.zip?acl%3AconsumerKey=&amp;date=current</x:v>
      </x:c>
      <x:c r="P62" s="29" t="str">
        <x:v>ODPT利用規約</x:v>
      </x:c>
      <x:c r="Q62" s="32" t="n">
        <x:v>46243</x:v>
      </x:c>
      <x:c r="R62" s="32" t="n">
        <x:v>46387</x:v>
      </x:c>
      <x:c r="S62" s="29" t="str">
        <x:v>候補あり</x:v>
      </x:c>
      <x:c r="T62" s="34" t="str">
        <x:v>https://www.city.tama.lg.jp/shisei/keikaku/kakuka/toshiseibi/1004844.html</x:v>
      </x:c>
      <x:c r="U62" s="34" t="str">
        <x:v>https://www.toshiseibi1.metro.tokyo.lg.jp/bunyabetsu/kotsu_butsuryu/pdf/index_koutuu_01.xlsx</x:v>
      </x:c>
      <x:c r="V62" s="32" t="n">
        <x:v>46256</x:v>
      </x:c>
      <x:c r="W62" s="29" t="str">
        <x:v>B</x:v>
      </x:c>
      <x:c r="X62" s="29" t="str">
        <x:v>OP001</x:v>
      </x:c>
      <x:c r="Y62" s="29" t="str"/>
    </x:row>
    <x:row r="63" ht="60" customHeight="1">
      <x:c r="A63" s="29" t="str">
        <x:v>S060</x:v>
      </x:c>
      <x:c r="B63" s="29" t="str">
        <x:v>対象</x:v>
      </x:c>
      <x:c r="C63" s="29" t="str">
        <x:v>多摩市部</x:v>
      </x:c>
      <x:c r="D63" s="29" t="str">
        <x:v>稲城市</x:v>
      </x:c>
      <x:c r="E63" s="29" t="str">
        <x:v>ｉ（あい）バス</x:v>
      </x:c>
      <x:c r="F63" s="29" t="str">
        <x:v>固定路線バス</x:v>
      </x:c>
      <x:c r="G63" s="29" t="str">
        <x:v>2023基準</x:v>
      </x:c>
      <x:c r="H63" s="29" t="str">
        <x:v>A：南多摩駅⇔稲城・府中メモリアルパーク／B：はるひ野駅⇔南多摩駅／C：平尾循環</x:v>
      </x:c>
      <x:c r="I63" s="29" t="str">
        <x:v>南観光交通／小田急バス</x:v>
      </x:c>
      <x:c r="J63" s="29" t="str">
        <x:v>大人（中学生以上）：現金 180円 ＩＣ 178円 子ども（小学生）：現金・ＩＣ 50円 未就学児童：無料</x:v>
      </x:c>
      <x:c r="K63" s="29" t="str">
        <x:v>現行（2026-04-01から3コース）</x:v>
      </x:c>
      <x:c r="L63" s="29" t="str">
        <x:v>個別GTFSは2025-03-31で期限切れ。小田急バス包括GTFSへの収録可否をroutes.txtで確認する。 運行事業者の包括GTFS候補：小田急バス。</x:v>
      </x:c>
      <x:c r="M63" s="29" t="str">
        <x:v>期限切れ個別／包括候補</x:v>
      </x:c>
      <x:c r="N63" s="29" t="str">
        <x:v>公開個別（期限切れ）＋ODPT小田急包括</x:v>
      </x:c>
      <x:c r="O63" s="34" t="str">
        <x:v>https://api-public.odpt.org/api/v4/files/odpt/InagiCity/ibas_A_course.zip?date=current</x:v>
      </x:c>
      <x:c r="P63" s="29" t="str">
        <x:v>CC BY 4.0</x:v>
      </x:c>
      <x:c r="Q63" s="32" t="n">
        <x:v>45387</x:v>
      </x:c>
      <x:c r="R63" s="32" t="n">
        <x:v>45747</x:v>
      </x:c>
      <x:c r="S63" s="29" t="str">
        <x:v>包括候補を要確認</x:v>
      </x:c>
      <x:c r="T63" s="34" t="str">
        <x:v>https://www.city.inagi.tokyo.jp/kurashi/bus/index.html</x:v>
      </x:c>
      <x:c r="U63" s="34" t="str">
        <x:v>https://www.toshiseibi1.metro.tokyo.lg.jp/bunyabetsu/kotsu_butsuryu/pdf/index_koutuu_01.xlsx</x:v>
      </x:c>
      <x:c r="V63" s="32" t="n">
        <x:v>46256</x:v>
      </x:c>
      <x:c r="W63" s="29" t="str">
        <x:v>B</x:v>
      </x:c>
      <x:c r="X63" s="29" t="str">
        <x:v>F017</x:v>
      </x:c>
      <x:c r="Y63" s="29" t="str"/>
    </x:row>
    <x:row r="64" ht="60" customHeight="1">
      <x:c r="A64" s="29" t="str">
        <x:v>S061</x:v>
      </x:c>
      <x:c r="B64" s="29" t="str">
        <x:v>対象</x:v>
      </x:c>
      <x:c r="C64" s="29" t="str">
        <x:v>多摩市部</x:v>
      </x:c>
      <x:c r="D64" s="29" t="str">
        <x:v>羽村市</x:v>
      </x:c>
      <x:c r="E64" s="29" t="str">
        <x:v>はむらん</x:v>
      </x:c>
      <x:c r="F64" s="29" t="str">
        <x:v>固定路線バス</x:v>
      </x:c>
      <x:c r="G64" s="29" t="str">
        <x:v>2023基準</x:v>
      </x:c>
      <x:c r="H64" s="29" t="str">
        <x:v>羽村東コース／羽村西コース／小作コース／羽村中央コース</x:v>
      </x:c>
      <x:c r="I64" s="29" t="str">
        <x:v>西東京バス</x:v>
      </x:c>
      <x:c r="J64" s="29" t="str">
        <x:v>100円</x:v>
      </x:c>
      <x:c r="K64" s="29" t="str">
        <x:v>2023年12月基準・現行要確認</x:v>
      </x:c>
      <x:c r="L64" s="29" t="str">
        <x:v>事業者包括GTFSから対象route_idの確定が必要。</x:v>
      </x:c>
      <x:c r="M64" s="29" t="str">
        <x:v>事業者包括候補</x:v>
      </x:c>
      <x:c r="N64" s="29" t="str">
        <x:v>ODPT利用登録・キー</x:v>
      </x:c>
      <x:c r="O64" s="34" t="str">
        <x:v>https://api.odpt.org/api/v4/files/odpt/NishiTokyoBus/NTBus.zip?acl%3AconsumerKey=&amp;date=current</x:v>
      </x:c>
      <x:c r="P64" s="29" t="str">
        <x:v>ODPT利用規約</x:v>
      </x:c>
      <x:c r="Q64" s="32" t="n">
        <x:v>46233</x:v>
      </x:c>
      <x:c r="R64" s="32" t="n">
        <x:v>46262</x:v>
      </x:c>
      <x:c r="S64" s="29" t="str">
        <x:v>候補あり</x:v>
      </x:c>
      <x:c r="T64" s="34" t="str">
        <x:v>https://www.city.hamura.tokyo.jp/category/1-11-15-0-0-0-0-0-0-0.html</x:v>
      </x:c>
      <x:c r="U64" s="34" t="str">
        <x:v>https://www.toshiseibi1.metro.tokyo.lg.jp/bunyabetsu/kotsu_butsuryu/pdf/index_koutuu_01.xlsx</x:v>
      </x:c>
      <x:c r="V64" s="32" t="n">
        <x:v>46256</x:v>
      </x:c>
      <x:c r="W64" s="29" t="str">
        <x:v>B</x:v>
      </x:c>
      <x:c r="X64" s="29" t="str">
        <x:v>OP004</x:v>
      </x:c>
      <x:c r="Y64" s="29" t="str"/>
    </x:row>
    <x:row r="65" ht="60" customHeight="1">
      <x:c r="A65" s="29" t="str">
        <x:v>S062</x:v>
      </x:c>
      <x:c r="B65" s="29" t="str">
        <x:v>対象</x:v>
      </x:c>
      <x:c r="C65" s="29" t="str">
        <x:v>多摩市部</x:v>
      </x:c>
      <x:c r="D65" s="29" t="str">
        <x:v>あきる野市</x:v>
      </x:c>
      <x:c r="E65" s="29" t="str">
        <x:v>るのバス</x:v>
      </x:c>
      <x:c r="F65" s="29" t="str">
        <x:v>固定路線バス</x:v>
      </x:c>
      <x:c r="G65" s="29" t="str">
        <x:v>2023基準</x:v>
      </x:c>
      <x:c r="H65" s="29" t="str">
        <x:v>秋川ルート／五日市ルート</x:v>
      </x:c>
      <x:c r="I65" s="29" t="str">
        <x:v>西東京バス</x:v>
      </x:c>
      <x:c r="J65" s="29" t="str">
        <x:v>100円</x:v>
      </x:c>
      <x:c r="K65" s="29" t="str">
        <x:v>2023年12月基準・現行要確認</x:v>
      </x:c>
      <x:c r="L65" s="29" t="str">
        <x:v>事業者包括GTFSから対象route_idの確定が必要。</x:v>
      </x:c>
      <x:c r="M65" s="29" t="str">
        <x:v>事業者包括候補</x:v>
      </x:c>
      <x:c r="N65" s="29" t="str">
        <x:v>ODPT利用登録・キー</x:v>
      </x:c>
      <x:c r="O65" s="34" t="str">
        <x:v>https://api.odpt.org/api/v4/files/odpt/NishiTokyoBus/NTBus.zip?acl%3AconsumerKey=&amp;date=current</x:v>
      </x:c>
      <x:c r="P65" s="29" t="str">
        <x:v>ODPT利用規約</x:v>
      </x:c>
      <x:c r="Q65" s="32" t="n">
        <x:v>46233</x:v>
      </x:c>
      <x:c r="R65" s="32" t="n">
        <x:v>46262</x:v>
      </x:c>
      <x:c r="S65" s="29" t="str">
        <x:v>候補あり</x:v>
      </x:c>
      <x:c r="T65" s="34" t="str">
        <x:v>https://www.city.akiruno.tokyo.jp/category/1-13-3-0-0-0-0-0-0-0.html</x:v>
      </x:c>
      <x:c r="U65" s="34" t="str">
        <x:v>https://www.toshiseibi1.metro.tokyo.lg.jp/bunyabetsu/kotsu_butsuryu/pdf/index_koutuu_01.xlsx</x:v>
      </x:c>
      <x:c r="V65" s="32" t="n">
        <x:v>46256</x:v>
      </x:c>
      <x:c r="W65" s="29" t="str">
        <x:v>B</x:v>
      </x:c>
      <x:c r="X65" s="29" t="str">
        <x:v>OP004</x:v>
      </x:c>
      <x:c r="Y65" s="29" t="str"/>
    </x:row>
    <x:row r="66" ht="60" customHeight="1">
      <x:c r="A66" s="29" t="str">
        <x:v>S063</x:v>
      </x:c>
      <x:c r="B66" s="29" t="str">
        <x:v>対象</x:v>
      </x:c>
      <x:c r="C66" s="29" t="str">
        <x:v>多摩市部</x:v>
      </x:c>
      <x:c r="D66" s="29" t="str">
        <x:v>あきる野市</x:v>
      </x:c>
      <x:c r="E66" s="29" t="str">
        <x:v>チョイソコあきる野</x:v>
      </x:c>
      <x:c r="F66" s="29" t="str">
        <x:v>デマンド交通</x:v>
      </x:c>
      <x:c r="G66" s="29" t="str">
        <x:v>2023基準</x:v>
      </x:c>
      <x:c r="H66" s="29" t="str">
        <x:v>引田・渕上・上代継・下代継地域／網代地域／野辺・小川地域／草花地域</x:v>
      </x:c>
      <x:c r="I66" s="29" t="str">
        <x:v>横川観光</x:v>
      </x:c>
      <x:c r="J66" s="29" t="str">
        <x:v>200円</x:v>
      </x:c>
      <x:c r="K66" s="29" t="str">
        <x:v>2023年12月基準・現行要確認</x:v>
      </x:c>
      <x:c r="L66" s="29" t="str"/>
      <x:c r="M66" s="29" t="str">
        <x:v>未確認／公開なし</x:v>
      </x:c>
      <x:c r="N66" s="29" t="str"/>
      <x:c r="O66" s="34" t="str"/>
      <x:c r="P66" s="29" t="str"/>
      <x:c r="Q66" s="32"/>
      <x:c r="R66" s="32"/>
      <x:c r="S66" s="29" t="str">
        <x:v>なし／未確認</x:v>
      </x:c>
      <x:c r="T66" s="34" t="str">
        <x:v>https://www.city.akiruno.tokyo.jp/category/1-13-3-0-0-0-0-0-0-0.html</x:v>
      </x:c>
      <x:c r="U66" s="34" t="str">
        <x:v>https://www.toshiseibi1.metro.tokyo.lg.jp/bunyabetsu/kotsu_butsuryu/pdf/index_koutuu_01.xlsx</x:v>
      </x:c>
      <x:c r="V66" s="32" t="n">
        <x:v>46256</x:v>
      </x:c>
      <x:c r="W66" s="29" t="str">
        <x:v>C</x:v>
      </x:c>
      <x:c r="X66" s="29" t="str"/>
      <x:c r="Y66" s="29" t="str"/>
    </x:row>
    <x:row r="67" ht="60" customHeight="1">
      <x:c r="A67" s="29" t="str">
        <x:v>S064</x:v>
      </x:c>
      <x:c r="B67" s="29" t="str">
        <x:v>対象</x:v>
      </x:c>
      <x:c r="C67" s="29" t="str">
        <x:v>多摩市部</x:v>
      </x:c>
      <x:c r="D67" s="29" t="str">
        <x:v>西東京市</x:v>
      </x:c>
      <x:c r="E67" s="29" t="str">
        <x:v>はなバス</x:v>
      </x:c>
      <x:c r="F67" s="29" t="str">
        <x:v>固定路線バス</x:v>
      </x:c>
      <x:c r="G67" s="29" t="str">
        <x:v>2023基準</x:v>
      </x:c>
      <x:c r="H67" s="29" t="str">
        <x:v>第１ルート／第2ルート／第3ルート／第4北ルート／第4南ルート</x:v>
      </x:c>
      <x:c r="I67" s="29" t="str">
        <x:v>西武バス／関東バス</x:v>
      </x:c>
      <x:c r="J67" s="29" t="str">
        <x:v>大人150円・小人100円 75歳以上の市民に1000円の敬老回数券(10回分)販売</x:v>
      </x:c>
      <x:c r="K67" s="29" t="str">
        <x:v>2023年12月基準・現行要確認</x:v>
      </x:c>
      <x:c r="L67" s="29" t="str">
        <x:v>運行事業者の包括GTFS候補：西武バス、関東バス。</x:v>
      </x:c>
      <x:c r="M67" s="29" t="str">
        <x:v>有効・静的</x:v>
      </x:c>
      <x:c r="N67" s="29" t="str">
        <x:v>公開・キー不要</x:v>
      </x:c>
      <x:c r="O67" s="34" t="str">
        <x:v>https://api-public.odpt.org/api/v4/files/odpt/NishitokyoCity/AllLines.zip?date=current</x:v>
      </x:c>
      <x:c r="P67" s="29" t="str">
        <x:v>CC BY 4.0</x:v>
      </x:c>
      <x:c r="Q67" s="32" t="n">
        <x:v>46111</x:v>
      </x:c>
      <x:c r="R67" s="32" t="n">
        <x:v>46477</x:v>
      </x:c>
      <x:c r="S67" s="29" t="str">
        <x:v>なし</x:v>
      </x:c>
      <x:c r="T67" s="34" t="str">
        <x:v>https://www.city.nishitokyo.lg.jp/siseizyoho/sesaku_keikaku/shingikaikaigiroku/toshiseibi/chiikikokyo/index.html</x:v>
      </x:c>
      <x:c r="U67" s="34" t="str">
        <x:v>https://www.toshiseibi1.metro.tokyo.lg.jp/bunyabetsu/kotsu_butsuryu/pdf/index_koutuu_01.xlsx</x:v>
      </x:c>
      <x:c r="V67" s="32" t="n">
        <x:v>46256</x:v>
      </x:c>
      <x:c r="W67" s="29" t="str">
        <x:v>A</x:v>
      </x:c>
      <x:c r="X67" s="29" t="str">
        <x:v>F030</x:v>
      </x:c>
      <x:c r="Y67" s="29" t="str"/>
    </x:row>
    <x:row r="68" ht="60" customHeight="1">
      <x:c r="A68" s="29" t="str">
        <x:v>S065</x:v>
      </x:c>
      <x:c r="B68" s="29" t="str">
        <x:v>対象</x:v>
      </x:c>
      <x:c r="C68" s="29" t="str">
        <x:v>多摩町村</x:v>
      </x:c>
      <x:c r="D68" s="29" t="str">
        <x:v>瑞穂町</x:v>
      </x:c>
      <x:c r="E68" s="29" t="str">
        <x:v>瑞穂町 コミュニティバス</x:v>
      </x:c>
      <x:c r="F68" s="29" t="str">
        <x:v>固定路線バス</x:v>
      </x:c>
      <x:c r="G68" s="29" t="str">
        <x:v>2023基準</x:v>
      </x:c>
      <x:c r="H68" s="29" t="str">
        <x:v>元狭山コース／元狭山・長岡コース／石畑・殿ケ谷コース／箱根ケ崎・長岡コース／武蔵野コース</x:v>
      </x:c>
      <x:c r="I68" s="29" t="str">
        <x:v>立川バス</x:v>
      </x:c>
      <x:c r="J68" s="29" t="str">
        <x:v>大人180円（IC178円） 大人（障がい者）90円（IC89円） 小人90円（IC89円） 小人（障がい者）50円（IC45円）</x:v>
      </x:c>
      <x:c r="K68" s="29" t="str">
        <x:v>2023年12月基準・現行要確認</x:v>
      </x:c>
      <x:c r="L68" s="29" t="str"/>
      <x:c r="M68" s="29" t="str">
        <x:v>有効・静的</x:v>
      </x:c>
      <x:c r="N68" s="29" t="str">
        <x:v>公開・キー不要</x:v>
      </x:c>
      <x:c r="O68" s="34" t="str">
        <x:v>https://api.gtfs-data.jp/v2/organizations/mizuhotown/feeds/communitybus/files/feed.zip</x:v>
      </x:c>
      <x:c r="P68" s="29" t="str">
        <x:v>CC BY 4.0</x:v>
      </x:c>
      <x:c r="Q68" s="32" t="n">
        <x:v>46090</x:v>
      </x:c>
      <x:c r="R68" s="32" t="n">
        <x:v>46477</x:v>
      </x:c>
      <x:c r="S68" s="29" t="str">
        <x:v>なし</x:v>
      </x:c>
      <x:c r="T68" s="34" t="str">
        <x:v>https://www.town.mizuho.tokyo.jp/kankyo/004/index.html</x:v>
      </x:c>
      <x:c r="U68" s="34" t="str">
        <x:v>https://www.toshiseibi1.metro.tokyo.lg.jp/bunyabetsu/kotsu_butsuryu/pdf/index_koutuu_01.xlsx</x:v>
      </x:c>
      <x:c r="V68" s="32" t="n">
        <x:v>46256</x:v>
      </x:c>
      <x:c r="W68" s="29" t="str">
        <x:v>A</x:v>
      </x:c>
      <x:c r="X68" s="29" t="str">
        <x:v>F018</x:v>
      </x:c>
      <x:c r="Y68" s="29" t="str"/>
    </x:row>
    <x:row r="69" ht="60" customHeight="1">
      <x:c r="A69" s="29" t="str">
        <x:v>S066</x:v>
      </x:c>
      <x:c r="B69" s="29" t="str">
        <x:v>対象</x:v>
      </x:c>
      <x:c r="C69" s="29" t="str">
        <x:v>多摩町村</x:v>
      </x:c>
      <x:c r="D69" s="29" t="str">
        <x:v>日の出町</x:v>
      </x:c>
      <x:c r="E69" s="29" t="str">
        <x:v>ぐるり～ん ひのでちゃん</x:v>
      </x:c>
      <x:c r="F69" s="29" t="str">
        <x:v>固定路線バス</x:v>
      </x:c>
      <x:c r="G69" s="29" t="str">
        <x:v>2023基準</x:v>
      </x:c>
      <x:c r="H69" s="29" t="str">
        <x:v>長井折返場～阿伎留医療センター</x:v>
      </x:c>
      <x:c r="I69" s="29" t="str">
        <x:v>西東京バス</x:v>
      </x:c>
      <x:c r="J69" s="29" t="str">
        <x:v>100円</x:v>
      </x:c>
      <x:c r="K69" s="29" t="str">
        <x:v>2023年12月基準・現行要確認</x:v>
      </x:c>
      <x:c r="L69" s="29" t="str">
        <x:v>事業者包括GTFSから対象route_idの確定が必要。</x:v>
      </x:c>
      <x:c r="M69" s="29" t="str">
        <x:v>事業者包括候補</x:v>
      </x:c>
      <x:c r="N69" s="29" t="str">
        <x:v>ODPT利用登録・キー</x:v>
      </x:c>
      <x:c r="O69" s="34" t="str">
        <x:v>https://api.odpt.org/api/v4/files/odpt/NishiTokyoBus/NTBus.zip?acl%3AconsumerKey=&amp;date=current</x:v>
      </x:c>
      <x:c r="P69" s="29" t="str">
        <x:v>ODPT利用規約</x:v>
      </x:c>
      <x:c r="Q69" s="32" t="n">
        <x:v>46233</x:v>
      </x:c>
      <x:c r="R69" s="32" t="n">
        <x:v>46262</x:v>
      </x:c>
      <x:c r="S69" s="29" t="str">
        <x:v>候補あり</x:v>
      </x:c>
      <x:c r="T69" s="34" t="str">
        <x:v>https://www.town.hinode.tokyo.jp/category/1-3-6-0-0.html</x:v>
      </x:c>
      <x:c r="U69" s="34" t="str">
        <x:v>https://www.toshiseibi1.metro.tokyo.lg.jp/bunyabetsu/kotsu_butsuryu/pdf/index_koutuu_01.xlsx</x:v>
      </x:c>
      <x:c r="V69" s="32" t="n">
        <x:v>46256</x:v>
      </x:c>
      <x:c r="W69" s="29" t="str">
        <x:v>B</x:v>
      </x:c>
      <x:c r="X69" s="29" t="str">
        <x:v>OP004</x:v>
      </x:c>
      <x:c r="Y69" s="29" t="str"/>
    </x:row>
    <x:row r="70" ht="60" customHeight="1">
      <x:c r="A70" s="29" t="str">
        <x:v>S067</x:v>
      </x:c>
      <x:c r="B70" s="29" t="str">
        <x:v>対象</x:v>
      </x:c>
      <x:c r="C70" s="29" t="str">
        <x:v>多摩町村</x:v>
      </x:c>
      <x:c r="D70" s="29" t="str">
        <x:v>檜原村</x:v>
      </x:c>
      <x:c r="E70" s="29" t="str">
        <x:v>やまびこ</x:v>
      </x:c>
      <x:c r="F70" s="29" t="str">
        <x:v>固定路線バス</x:v>
      </x:c>
      <x:c r="G70" s="29" t="str">
        <x:v>2023基準</x:v>
      </x:c>
      <x:c r="H70" s="29" t="str">
        <x:v>神戸線／藤倉線／笛吹・上平線／泉沢・日向線</x:v>
      </x:c>
      <x:c r="I70" s="29" t="str">
        <x:v>大谷商事／横川観光</x:v>
      </x:c>
      <x:c r="J70" s="29" t="str">
        <x:v>大人・小人 1回 100円</x:v>
      </x:c>
      <x:c r="K70" s="29" t="str">
        <x:v>2023年12月基準・現行要確認</x:v>
      </x:c>
      <x:c r="L70" s="29" t="str"/>
      <x:c r="M70" s="29" t="str">
        <x:v>未確認／公開なし</x:v>
      </x:c>
      <x:c r="N70" s="29" t="str"/>
      <x:c r="O70" s="34" t="str"/>
      <x:c r="P70" s="29" t="str"/>
      <x:c r="Q70" s="32"/>
      <x:c r="R70" s="32"/>
      <x:c r="S70" s="29" t="str">
        <x:v>なし／未確認</x:v>
      </x:c>
      <x:c r="T70" s="34" t="str">
        <x:v>https://www.vill.hinohara.tokyo.jp/category/1-5-4-0-0.html</x:v>
      </x:c>
      <x:c r="U70" s="34" t="str">
        <x:v>https://www.toshiseibi1.metro.tokyo.lg.jp/bunyabetsu/kotsu_butsuryu/pdf/index_koutuu_01.xlsx</x:v>
      </x:c>
      <x:c r="V70" s="32" t="n">
        <x:v>46256</x:v>
      </x:c>
      <x:c r="W70" s="29" t="str">
        <x:v>C</x:v>
      </x:c>
      <x:c r="X70" s="29" t="str"/>
      <x:c r="Y70" s="29" t="str"/>
    </x:row>
    <x:row r="71" ht="60" customHeight="1">
      <x:c r="A71" s="29" t="str">
        <x:v>S068</x:v>
      </x:c>
      <x:c r="B71" s="29" t="str">
        <x:v>対象</x:v>
      </x:c>
      <x:c r="C71" s="29" t="str">
        <x:v>島しょ</x:v>
      </x:c>
      <x:c r="D71" s="29" t="str">
        <x:v>新島村</x:v>
      </x:c>
      <x:c r="E71" s="29" t="str">
        <x:v>ふれあいバス</x:v>
      </x:c>
      <x:c r="F71" s="29" t="str">
        <x:v>固定路線バス</x:v>
      </x:c>
      <x:c r="G71" s="29" t="str">
        <x:v>2023基準</x:v>
      </x:c>
      <x:c r="H71" s="29" t="str">
        <x:v>（路線・エリア名の記載なし）</x:v>
      </x:c>
      <x:c r="I71" s="29" t="str">
        <x:v>新島村</x:v>
      </x:c>
      <x:c r="J71" s="29" t="str">
        <x:v>無料</x:v>
      </x:c>
      <x:c r="K71" s="29" t="str">
        <x:v>2023年12月基準・現行要確認</x:v>
      </x:c>
      <x:c r="L71" s="29" t="str"/>
      <x:c r="M71" s="29" t="str">
        <x:v>未確認／公開なし</x:v>
      </x:c>
      <x:c r="N71" s="29" t="str"/>
      <x:c r="O71" s="34" t="str"/>
      <x:c r="P71" s="29" t="str"/>
      <x:c r="Q71" s="32"/>
      <x:c r="R71" s="32"/>
      <x:c r="S71" s="29" t="str">
        <x:v>なし／未確認</x:v>
      </x:c>
      <x:c r="T71" s="34" t="str"/>
      <x:c r="U71" s="34" t="str">
        <x:v>https://www.toshiseibi1.metro.tokyo.lg.jp/bunyabetsu/kotsu_butsuryu/pdf/index_koutuu_01.xlsx</x:v>
      </x:c>
      <x:c r="V71" s="32" t="n">
        <x:v>46256</x:v>
      </x:c>
      <x:c r="W71" s="29" t="str">
        <x:v>C</x:v>
      </x:c>
      <x:c r="X71" s="29" t="str"/>
      <x:c r="Y71" s="29" t="str"/>
    </x:row>
    <x:row r="72" ht="60" customHeight="1">
      <x:c r="A72" s="29" t="str">
        <x:v>S069</x:v>
      </x:c>
      <x:c r="B72" s="29" t="str">
        <x:v>対象</x:v>
      </x:c>
      <x:c r="C72" s="29" t="str">
        <x:v>島しょ</x:v>
      </x:c>
      <x:c r="D72" s="29" t="str">
        <x:v>神津島村</x:v>
      </x:c>
      <x:c r="E72" s="29" t="str">
        <x:v>神津島村村営バス</x:v>
      </x:c>
      <x:c r="F72" s="29" t="str">
        <x:v>固定路線バス</x:v>
      </x:c>
      <x:c r="G72" s="29" t="str">
        <x:v>2023基準</x:v>
      </x:c>
      <x:c r="H72" s="29" t="str">
        <x:v>温泉保養センター・赤崎遊歩道方面／空港・多幸湾・天上山方面／天上山方面</x:v>
      </x:c>
      <x:c r="I72" s="29" t="str">
        <x:v>新島村</x:v>
      </x:c>
      <x:c r="J72" s="29" t="str">
        <x:v>大人200円/回、小人100円/回／大人500円/回、小人300円/回</x:v>
      </x:c>
      <x:c r="K72" s="29" t="str">
        <x:v>現行フィード確認</x:v>
      </x:c>
      <x:c r="L72" s="29" t="str">
        <x:v>2023基準Excelの運行事業者が「新島村」と記載されているため原典確認要。現行GTFSは神津島村名義。</x:v>
      </x:c>
      <x:c r="M72" s="29" t="str">
        <x:v>有効・静的</x:v>
      </x:c>
      <x:c r="N72" s="29" t="str">
        <x:v>公開・キー不要</x:v>
      </x:c>
      <x:c r="O72" s="34" t="str">
        <x:v>https://api.gtfs-data.jp/v2/organizations/kozushimavillage/feeds/kozushimavillagebus/files/feed.zip</x:v>
      </x:c>
      <x:c r="P72" s="29" t="str">
        <x:v>CC BY 4.0</x:v>
      </x:c>
      <x:c r="Q72" s="32" t="n">
        <x:v>46062</x:v>
      </x:c>
      <x:c r="R72" s="32" t="n">
        <x:v>46415</x:v>
      </x:c>
      <x:c r="S72" s="29" t="str">
        <x:v>なし</x:v>
      </x:c>
      <x:c r="T72" s="34" t="str">
        <x:v>https://www.vill.kouzushima.tokyo.jp/transport/</x:v>
      </x:c>
      <x:c r="U72" s="34" t="str">
        <x:v>https://www.toshiseibi1.metro.tokyo.lg.jp/bunyabetsu/kotsu_butsuryu/pdf/index_koutuu_01.xlsx</x:v>
      </x:c>
      <x:c r="V72" s="32" t="n">
        <x:v>46256</x:v>
      </x:c>
      <x:c r="W72" s="29" t="str">
        <x:v>A</x:v>
      </x:c>
      <x:c r="X72" s="29" t="str">
        <x:v>F028</x:v>
      </x:c>
      <x:c r="Y72" s="29" t="str"/>
    </x:row>
    <x:row r="73" ht="60" customHeight="1">
      <x:c r="A73" s="29" t="str">
        <x:v>S070</x:v>
      </x:c>
      <x:c r="B73" s="29" t="str">
        <x:v>対象</x:v>
      </x:c>
      <x:c r="C73" s="29" t="str">
        <x:v>島しょ</x:v>
      </x:c>
      <x:c r="D73" s="29" t="str">
        <x:v>三宅村</x:v>
      </x:c>
      <x:c r="E73" s="29" t="str">
        <x:v>三宅村営バス</x:v>
      </x:c>
      <x:c r="F73" s="29" t="str">
        <x:v>固定路線バス</x:v>
      </x:c>
      <x:c r="G73" s="29" t="str">
        <x:v>2023基準</x:v>
      </x:c>
      <x:c r="H73" s="29" t="str">
        <x:v>船連絡バス（右回り）3系統／船連絡バス（左回り）3系統／一般路線（右回り）6系統／一般路線（左回り）6系統</x:v>
      </x:c>
      <x:c r="I73" s="29" t="str">
        <x:v>三宅村営バス</x:v>
      </x:c>
      <x:c r="J73" s="29" t="str">
        <x:v>距離制</x:v>
      </x:c>
      <x:c r="K73" s="29" t="str">
        <x:v>2023年12月基準・現行要確認</x:v>
      </x:c>
      <x:c r="L73" s="29" t="str"/>
      <x:c r="M73" s="29" t="str">
        <x:v>有効・静的</x:v>
      </x:c>
      <x:c r="N73" s="29" t="str">
        <x:v>公開・キー不要</x:v>
      </x:c>
      <x:c r="O73" s="34" t="str">
        <x:v>https://api-public.odpt.org/api/v4/files/odpt/MiyakeVill/AllLine.zip?date=current</x:v>
      </x:c>
      <x:c r="P73" s="29" t="str">
        <x:v>CC BY 4.0</x:v>
      </x:c>
      <x:c r="Q73" s="32" t="n">
        <x:v>45929</x:v>
      </x:c>
      <x:c r="R73" s="32" t="n">
        <x:v>46387</x:v>
      </x:c>
      <x:c r="S73" s="29" t="str">
        <x:v>なし</x:v>
      </x:c>
      <x:c r="T73" s="34" t="str"/>
      <x:c r="U73" s="34" t="str">
        <x:v>https://www.toshiseibi1.metro.tokyo.lg.jp/bunyabetsu/kotsu_butsuryu/pdf/index_koutuu_01.xlsx</x:v>
      </x:c>
      <x:c r="V73" s="32" t="n">
        <x:v>46256</x:v>
      </x:c>
      <x:c r="W73" s="29" t="str">
        <x:v>A</x:v>
      </x:c>
      <x:c r="X73" s="29" t="str">
        <x:v>F020</x:v>
      </x:c>
      <x:c r="Y73" s="29" t="str"/>
    </x:row>
    <x:row r="74" ht="60" customHeight="1">
      <x:c r="A74" s="29" t="str">
        <x:v>S071</x:v>
      </x:c>
      <x:c r="B74" s="29" t="str">
        <x:v>対象</x:v>
      </x:c>
      <x:c r="C74" s="29" t="str">
        <x:v>島しょ</x:v>
      </x:c>
      <x:c r="D74" s="29" t="str">
        <x:v>小笠原村</x:v>
      </x:c>
      <x:c r="E74" s="29" t="str">
        <x:v>村営バス</x:v>
      </x:c>
      <x:c r="F74" s="29" t="str">
        <x:v>固定路線バス</x:v>
      </x:c>
      <x:c r="G74" s="29" t="str">
        <x:v>2023基準</x:v>
      </x:c>
      <x:c r="H74" s="29" t="str">
        <x:v>扇浦線・ 大村～奥村循環線</x:v>
      </x:c>
      <x:c r="I74" s="29" t="str">
        <x:v>村営バス</x:v>
      </x:c>
      <x:c r="J74" s="29" t="str">
        <x:v>大人２００円 小人１００円</x:v>
      </x:c>
      <x:c r="K74" s="29" t="str">
        <x:v>2023年12月基準・現行要確認</x:v>
      </x:c>
      <x:c r="L74" s="29" t="str"/>
      <x:c r="M74" s="29" t="str">
        <x:v>有効・静的</x:v>
      </x:c>
      <x:c r="N74" s="29" t="str">
        <x:v>公開・キー不要</x:v>
      </x:c>
      <x:c r="O74" s="34" t="str">
        <x:v>https://api.gtfs-data.jp/v2/organizations/ogasawaravillage/feeds/o/files/feed.zip</x:v>
      </x:c>
      <x:c r="P74" s="29" t="str">
        <x:v>CC BY 4.0</x:v>
      </x:c>
      <x:c r="Q74" s="32" t="n">
        <x:v>46063</x:v>
      </x:c>
      <x:c r="R74" s="32" t="n">
        <x:v>46428</x:v>
      </x:c>
      <x:c r="S74" s="29" t="str">
        <x:v>なし</x:v>
      </x:c>
      <x:c r="T74" s="34" t="str">
        <x:v>https://www.vill.ogasawara.tokyo.jp/bus/</x:v>
      </x:c>
      <x:c r="U74" s="34" t="str">
        <x:v>https://www.toshiseibi1.metro.tokyo.lg.jp/bunyabetsu/kotsu_butsuryu/pdf/index_koutuu_01.xlsx</x:v>
      </x:c>
      <x:c r="V74" s="32" t="n">
        <x:v>46256</x:v>
      </x:c>
      <x:c r="W74" s="29" t="str">
        <x:v>A</x:v>
      </x:c>
      <x:c r="X74" s="29" t="str">
        <x:v>F023</x:v>
      </x:c>
      <x:c r="Y74" s="29" t="str"/>
    </x:row>
    <x:row r="75" ht="60" customHeight="1">
      <x:c r="A75" s="29" t="str">
        <x:v>S072</x:v>
      </x:c>
      <x:c r="B75" s="29" t="str">
        <x:v>対象</x:v>
      </x:c>
      <x:c r="C75" s="29" t="str">
        <x:v>23区</x:v>
      </x:c>
      <x:c r="D75" s="29" t="str">
        <x:v>目黒区</x:v>
      </x:c>
      <x:c r="E75" s="29" t="str">
        <x:v>さんまバス</x:v>
      </x:c>
      <x:c r="F75" s="29" t="str">
        <x:v>固定路線バス</x:v>
      </x:c>
      <x:c r="G75" s="29" t="str">
        <x:v>2026追加</x:v>
      </x:c>
      <x:c r="H75" s="29" t="str">
        <x:v>目黒区東部地区の地域交通（実証）</x:v>
      </x:c>
      <x:c r="I75" s="29" t="str">
        <x:v>東急バス</x:v>
      </x:c>
      <x:c r="J75" s="29" t="str">
        <x:v>2026-04-01以降：大人 現金250円／IC240円、子ども 現金130円／IC120円</x:v>
      </x:c>
      <x:c r="K75" s="29" t="str">
        <x:v>実証運行中</x:v>
      </x:c>
      <x:c r="L75" s="29" t="str">
        <x:v>2024-03-26に実証運行開始。最長3年間の実証。2023年12月基準資料には未掲載。</x:v>
      </x:c>
      <x:c r="M75" s="29" t="str">
        <x:v>有効期限間近</x:v>
      </x:c>
      <x:c r="N75" s="29" t="str">
        <x:v>ODPT利用登録・キー</x:v>
      </x:c>
      <x:c r="O75" s="34" t="str">
        <x:v>https://api.odpt.org/api/v4/files/odpt/TokyuBus/tokyubus_community_MeguroCity.zip?acl%3AconsumerKey=&amp;date=current</x:v>
      </x:c>
      <x:c r="P75" s="29" t="str">
        <x:v>ODPT利用規約</x:v>
      </x:c>
      <x:c r="Q75" s="32" t="n">
        <x:v>46170</x:v>
      </x:c>
      <x:c r="R75" s="32" t="n">
        <x:v>46295</x:v>
      </x:c>
      <x:c r="S75" s="29" t="str">
        <x:v>なし</x:v>
      </x:c>
      <x:c r="T75" s="34" t="str">
        <x:v>https://www.city.meguro.tokyo.jp/toshikiban/kusei/keikaku/sanma_bus.html</x:v>
      </x:c>
      <x:c r="U75" s="34" t="str"/>
      <x:c r="V75" s="32" t="n">
        <x:v>46256</x:v>
      </x:c>
      <x:c r="W75" s="29" t="str">
        <x:v>B</x:v>
      </x:c>
      <x:c r="X75" s="29" t="str">
        <x:v>F027</x:v>
      </x:c>
      <x:c r="Y75" s="29" t="str"/>
    </x:row>
    <x:row r="76" ht="60" customHeight="1">
      <x:c r="A76" s="29" t="str">
        <x:v>S073</x:v>
      </x:c>
      <x:c r="B76" s="29" t="str">
        <x:v>対象</x:v>
      </x:c>
      <x:c r="C76" s="29" t="str">
        <x:v>23区</x:v>
      </x:c>
      <x:c r="D76" s="29" t="str">
        <x:v>杉並区</x:v>
      </x:c>
      <x:c r="E76" s="29" t="str">
        <x:v>グリーンスローモビリティ</x:v>
      </x:c>
      <x:c r="F76" s="29" t="str">
        <x:v>グリーンスローモビリティ</x:v>
      </x:c>
      <x:c r="G76" s="29" t="str">
        <x:v>2026追加</x:v>
      </x:c>
      <x:c r="H76" s="29" t="str">
        <x:v>荻窪駅南側周辺（停留所4か所）</x:v>
      </x:c>
      <x:c r="I76" s="29" t="str">
        <x:v>杉並区／運行受託者</x:v>
      </x:c>
      <x:c r="J76" s="29" t="str">
        <x:v>公式情報を確認</x:v>
      </x:c>
      <x:c r="K76" s="29" t="str">
        <x:v>本格運行中</x:v>
      </x:c>
      <x:c r="L76" s="29" t="str">
        <x:v>2024-11-25に本格運行開始。静的GTFSと公開GTFS-RTあり。</x:v>
      </x:c>
      <x:c r="M76" s="29" t="str">
        <x:v>有効・RTあり</x:v>
      </x:c>
      <x:c r="N76" s="29" t="str">
        <x:v>公開・キー不要</x:v>
      </x:c>
      <x:c r="O76" s="34" t="str">
        <x:v>https://api-public.odpt.org/api/v4/files/odpt/TokyoSuginamiCity/GreenSlowMobility.zip?date=current</x:v>
      </x:c>
      <x:c r="P76" s="29" t="str">
        <x:v>CC BY 4.0</x:v>
      </x:c>
      <x:c r="Q76" s="32" t="n">
        <x:v>46238</x:v>
      </x:c>
      <x:c r="R76" s="32" t="n">
        <x:v>46934</x:v>
      </x:c>
      <x:c r="S76" s="29" t="str">
        <x:v>あり</x:v>
      </x:c>
      <x:c r="T76" s="34" t="str">
        <x:v>https://www.city.suginami.tokyo.jp/s092/17102.html</x:v>
      </x:c>
      <x:c r="U76" s="34" t="str"/>
      <x:c r="V76" s="32" t="n">
        <x:v>46256</x:v>
      </x:c>
      <x:c r="W76" s="29" t="str">
        <x:v>A</x:v>
      </x:c>
      <x:c r="X76" s="29" t="str">
        <x:v>F025</x:v>
      </x:c>
      <x:c r="Y76" s="29" t="str"/>
    </x:row>
    <x:row r="77" ht="60" customHeight="1">
      <x:c r="A77" s="29" t="str">
        <x:v>S074</x:v>
      </x:c>
      <x:c r="B77" s="29" t="str">
        <x:v>対象</x:v>
      </x:c>
      <x:c r="C77" s="29" t="str">
        <x:v>多摩町村</x:v>
      </x:c>
      <x:c r="D77" s="29" t="str">
        <x:v>瑞穂町</x:v>
      </x:c>
      <x:c r="E77" s="29" t="str">
        <x:v>チョイソコみずほまち</x:v>
      </x:c>
      <x:c r="F77" s="29" t="str">
        <x:v>デマンド交通</x:v>
      </x:c>
      <x:c r="G77" s="29" t="str">
        <x:v>2026追加</x:v>
      </x:c>
      <x:c r="H77" s="29" t="str">
        <x:v>町内デマンド交通エリア</x:v>
      </x:c>
      <x:c r="I77" s="29" t="str">
        <x:v>運行事業者要確認</x:v>
      </x:c>
      <x:c r="J77" s="29" t="str">
        <x:v>公式情報を確認</x:v>
      </x:c>
      <x:c r="K77" s="29" t="str">
        <x:v>現行フィード確認</x:v>
      </x:c>
      <x:c r="L77" s="29" t="str">
        <x:v>GTFS Flexで公開。固定停留所0件のため、乗降エリア／予約方式に対応する別UIが必要。</x:v>
      </x:c>
      <x:c r="M77" s="29" t="str">
        <x:v>有効期限間近</x:v>
      </x:c>
      <x:c r="N77" s="29" t="str">
        <x:v>公開・キー不要</x:v>
      </x:c>
      <x:c r="O77" s="34" t="str">
        <x:v>https://api.gtfs-data.jp/v2/organizations/mizuhotown/feeds/DemandResponsiveTransport/files/feed.zip</x:v>
      </x:c>
      <x:c r="P77" s="29" t="str">
        <x:v>CC BY 4.0</x:v>
      </x:c>
      <x:c r="Q77" s="32" t="n">
        <x:v>46090</x:v>
      </x:c>
      <x:c r="R77" s="32" t="n">
        <x:v>46295</x:v>
      </x:c>
      <x:c r="S77" s="29" t="str">
        <x:v>なし</x:v>
      </x:c>
      <x:c r="T77" s="34" t="str">
        <x:v>https://www.town.mizuho.tokyo.jp/kankyo/004/index.html</x:v>
      </x:c>
      <x:c r="U77" s="34" t="str"/>
      <x:c r="V77" s="32" t="n">
        <x:v>46256</x:v>
      </x:c>
      <x:c r="W77" s="29" t="str">
        <x:v>C</x:v>
      </x:c>
      <x:c r="X77" s="29" t="str">
        <x:v>F019</x:v>
      </x:c>
      <x:c r="Y77" s="29" t="str"/>
    </x:row>
  </x:sheetData>
  <x:mergeCells>
    <x:mergeCell ref="A1:Y1"/>
    <x:mergeCell ref="A2:Y2"/>
  </x:mergeCells>
  <x:conditionalFormatting sqref="B4:B77">
    <x:cfRule type="expression" dxfId="0" priority="1">
      <x:formula>$B4="対象"</x:formula>
    </x:cfRule>
    <x:cfRule type="expression" dxfId="1" priority="2">
      <x:formula>LEFT($B4,2)="除外"</x:formula>
    </x:cfRule>
    <x:cfRule type="expression" dxfId="2" priority="3">
      <x:formula>$B4="終了"</x:formula>
    </x:cfRule>
    <x:cfRule type="expression" dxfId="3" priority="4">
      <x:formula>LEFT($B4,3)="要確認"</x:formula>
    </x:cfRule>
  </x:conditionalFormatting>
  <x:conditionalFormatting sqref="W4:W77">
    <x:cfRule type="expression" dxfId="4" priority="5">
      <x:formula>$W4="A"</x:formula>
    </x:cfRule>
    <x:cfRule type="expression" dxfId="5" priority="6">
      <x:formula>$W4="B"</x:formula>
    </x:cfRule>
    <x:cfRule type="expression" dxfId="6" priority="7">
      <x:formula>$W4="C"</x:formula>
    </x:cfRule>
    <x:cfRule type="expression" dxfId="7" priority="8">
      <x:formula>$W4="D"</x:formula>
    </x:cfRule>
  </x:conditionalFormatting>
  <x:conditionalFormatting sqref="M4:M77">
    <x:cfRule type="expression" dxfId="8" priority="9">
      <x:formula>ISNUMBER(SEARCH("有効",$M4))</x:formula>
    </x:cfRule>
    <x:cfRule type="expression" dxfId="9" priority="10">
      <x:formula>ISNUMBER(SEARCH("期限切れ",$M4))</x:formula>
    </x:cfRule>
    <x:cfRule type="expression" dxfId="10" priority="11">
      <x:formula>ISNUMBER(SEARCH("包括",$M4))</x:formula>
    </x:cfRule>
  </x:conditionalFormatting>
  <x:dataValidations count="2">
    <x:dataValidation type="list" sqref="B4:B77">
      <x:formula1>"対象,要確認（福祉移送）,除外（都営バス）,終了"</x:formula1>
    </x:dataValidation>
    <x:dataValidation type="list" sqref="W4:W77">
      <x:formula1>"A,B,C,D"</x:formula1>
    </x:dataValidation>
  </x:dataValidations>
  <x:pageMargins left="0.7" right="0.7" top="0.75" bottom="0.75" header="0.3" footer="0.3"/>
  <x:tableParts count="1">
    <x:tablePart xmlns:r="http://schemas.openxmlformats.org/officeDocument/2006/relationships" r:id="R07fc8d7cebd24e12"/>
  </x:tableParts>
</x:worksheet>
</file>

<file path=xl/worksheets/sheet3.xml><?xml version="1.0" encoding="utf-8"?>
<x:worksheet xmlns:x="http://schemas.openxmlformats.org/spreadsheetml/2006/main">
  <x:sheetFormatPr defaultRowHeight="15"/>
  <x:cols>
    <x:col min="1" max="1" width="13" hidden="0" customWidth="1"/>
    <x:col min="2" max="2" width="11" hidden="0" customWidth="1"/>
    <x:col min="3" max="3" width="11" hidden="0" customWidth="1"/>
    <x:col min="4" max="4" width="12" hidden="0" customWidth="1"/>
    <x:col min="5" max="5" width="28" hidden="0" customWidth="1"/>
    <x:col min="6" max="6" width="50" hidden="0" customWidth="1"/>
    <x:col min="7" max="7" width="30" hidden="0" customWidth="1"/>
    <x:col min="8" max="8" width="30" hidden="0" customWidth="1"/>
    <x:col min="9" max="9" width="18" hidden="0" customWidth="1"/>
    <x:col min="10" max="10" width="9" hidden="0" customWidth="1"/>
    <x:col min="11" max="11" width="44" hidden="0" customWidth="1"/>
    <x:col min="12" max="12" width="12" hidden="0" customWidth="1"/>
  </x:cols>
  <x:sheetData>
    <x:row r="1" ht="30" customHeight="1">
      <x:c r="A1" s="5" t="str">
        <x:v>東京都資料 路線・エリア明細（2023年12月基準）</x:v>
      </x:c>
      <x:c r="B1" s="5"/>
      <x:c r="C1" s="5"/>
      <x:c r="D1" s="5"/>
      <x:c r="E1" s="5"/>
      <x:c r="F1" s="5"/>
      <x:c r="G1" s="5"/>
      <x:c r="H1" s="5"/>
      <x:c r="I1" s="5"/>
      <x:c r="J1" s="5"/>
      <x:c r="K1" s="5"/>
      <x:c r="L1" s="5"/>
    </x:row>
    <x:row r="2" ht="22" customHeight="1">
      <x:c r="A2" s="13" t="str">
        <x:v>東京都の基準Excelを行単位で正規化。現行との差分は「変更・要確認」シートを参照。</x:v>
      </x:c>
      <x:c r="B2" s="13"/>
      <x:c r="C2" s="13"/>
      <x:c r="D2" s="13"/>
      <x:c r="E2" s="13"/>
      <x:c r="F2" s="13"/>
      <x:c r="G2" s="13"/>
      <x:c r="H2" s="13"/>
      <x:c r="I2" s="13"/>
      <x:c r="J2" s="13"/>
      <x:c r="K2" s="13"/>
      <x:c r="L2" s="13"/>
    </x:row>
    <x:row r="3" ht="36" customHeight="1">
      <x:c r="A3" s="36" t="str">
        <x:v>route_source_id</x:v>
      </x:c>
      <x:c r="B3" s="36" t="str">
        <x:v>service_id</x:v>
      </x:c>
      <x:c r="C3" s="36" t="str">
        <x:v>地域区分</x:v>
      </x:c>
      <x:c r="D3" s="36" t="str">
        <x:v>自治体</x:v>
      </x:c>
      <x:c r="E3" s="36" t="str">
        <x:v>サービス名</x:v>
      </x:c>
      <x:c r="F3" s="36" t="str">
        <x:v>路線・エリア</x:v>
      </x:c>
      <x:c r="G3" s="36" t="str">
        <x:v>運賃</x:v>
      </x:c>
      <x:c r="H3" s="36" t="str">
        <x:v>運行事業者</x:v>
      </x:c>
      <x:c r="I3" s="36" t="str">
        <x:v>対象判定</x:v>
      </x:c>
      <x:c r="J3" s="36" t="str">
        <x:v>原典行</x:v>
      </x:c>
      <x:c r="K3" s="36" t="str">
        <x:v>基準資料URL</x:v>
      </x:c>
      <x:c r="L3" s="36" t="str">
        <x:v>確認日</x:v>
      </x:c>
    </x:row>
    <x:row r="4" ht="40" customHeight="1">
      <x:c r="A4" s="29" t="str">
        <x:v>R001</x:v>
      </x:c>
      <x:c r="B4" s="29" t="str">
        <x:v>S001</x:v>
      </x:c>
      <x:c r="C4" s="29" t="str">
        <x:v>23区</x:v>
      </x:c>
      <x:c r="D4" s="29" t="str">
        <x:v>千代田区</x:v>
      </x:c>
      <x:c r="E4" s="29" t="str">
        <x:v>風ぐるま</x:v>
      </x:c>
      <x:c r="F4" s="29" t="str">
        <x:v>麹町ルート</x:v>
      </x:c>
      <x:c r="G4" s="29" t="str">
        <x:v>100円</x:v>
      </x:c>
      <x:c r="H4" s="29" t="str">
        <x:v>日立自動車交通</x:v>
      </x:c>
      <x:c r="I4" s="29" t="str">
        <x:v>対象</x:v>
      </x:c>
      <x:c r="J4" s="29" t="n">
        <x:v>3</x:v>
      </x:c>
      <x:c r="K4" s="34" t="str">
        <x:v>https://www.toshiseibi1.metro.tokyo.lg.jp/bunyabetsu/kotsu_butsuryu/pdf/index_koutuu_01.xlsx</x:v>
      </x:c>
      <x:c r="L4" s="32" t="n">
        <x:v>46256</x:v>
      </x:c>
    </x:row>
    <x:row r="5" ht="40" customHeight="1">
      <x:c r="A5" s="29" t="str">
        <x:v>R002</x:v>
      </x:c>
      <x:c r="B5" s="29" t="str">
        <x:v>S001</x:v>
      </x:c>
      <x:c r="C5" s="29" t="str">
        <x:v>23区</x:v>
      </x:c>
      <x:c r="D5" s="29" t="str">
        <x:v>千代田区</x:v>
      </x:c>
      <x:c r="E5" s="29" t="str">
        <x:v>風ぐるま</x:v>
      </x:c>
      <x:c r="F5" s="29" t="str">
        <x:v>秋葉原ルート</x:v>
      </x:c>
      <x:c r="G5" s="29" t="str">
        <x:v>100円</x:v>
      </x:c>
      <x:c r="H5" s="29" t="str">
        <x:v>日立自動車交通</x:v>
      </x:c>
      <x:c r="I5" s="29" t="str">
        <x:v>対象</x:v>
      </x:c>
      <x:c r="J5" s="29" t="n">
        <x:v>4</x:v>
      </x:c>
      <x:c r="K5" s="34" t="str">
        <x:v>https://www.toshiseibi1.metro.tokyo.lg.jp/bunyabetsu/kotsu_butsuryu/pdf/index_koutuu_01.xlsx</x:v>
      </x:c>
      <x:c r="L5" s="32" t="n">
        <x:v>46256</x:v>
      </x:c>
    </x:row>
    <x:row r="6" ht="40" customHeight="1">
      <x:c r="A6" s="29" t="str">
        <x:v>R003</x:v>
      </x:c>
      <x:c r="B6" s="29" t="str">
        <x:v>S001</x:v>
      </x:c>
      <x:c r="C6" s="29" t="str">
        <x:v>23区</x:v>
      </x:c>
      <x:c r="D6" s="29" t="str">
        <x:v>千代田区</x:v>
      </x:c>
      <x:c r="E6" s="29" t="str">
        <x:v>風ぐるま</x:v>
      </x:c>
      <x:c r="F6" s="29" t="str">
        <x:v>富士見・神保町ルート</x:v>
      </x:c>
      <x:c r="G6" s="29" t="str">
        <x:v>100円</x:v>
      </x:c>
      <x:c r="H6" s="29" t="str">
        <x:v>日立自動車交通</x:v>
      </x:c>
      <x:c r="I6" s="29" t="str">
        <x:v>対象</x:v>
      </x:c>
      <x:c r="J6" s="29" t="n">
        <x:v>5</x:v>
      </x:c>
      <x:c r="K6" s="34" t="str">
        <x:v>https://www.toshiseibi1.metro.tokyo.lg.jp/bunyabetsu/kotsu_butsuryu/pdf/index_koutuu_01.xlsx</x:v>
      </x:c>
      <x:c r="L6" s="32" t="n">
        <x:v>46256</x:v>
      </x:c>
    </x:row>
    <x:row r="7" ht="40" customHeight="1">
      <x:c r="A7" s="29" t="str">
        <x:v>R004</x:v>
      </x:c>
      <x:c r="B7" s="29" t="str">
        <x:v>S001</x:v>
      </x:c>
      <x:c r="C7" s="29" t="str">
        <x:v>23区</x:v>
      </x:c>
      <x:c r="D7" s="29" t="str">
        <x:v>千代田区</x:v>
      </x:c>
      <x:c r="E7" s="29" t="str">
        <x:v>風ぐるま</x:v>
      </x:c>
      <x:c r="F7" s="29" t="str">
        <x:v>内神田ルート</x:v>
      </x:c>
      <x:c r="G7" s="29" t="str">
        <x:v>100円</x:v>
      </x:c>
      <x:c r="H7" s="29" t="str">
        <x:v>日立自動車交通</x:v>
      </x:c>
      <x:c r="I7" s="29" t="str">
        <x:v>対象</x:v>
      </x:c>
      <x:c r="J7" s="29" t="n">
        <x:v>6</x:v>
      </x:c>
      <x:c r="K7" s="34" t="str">
        <x:v>https://www.toshiseibi1.metro.tokyo.lg.jp/bunyabetsu/kotsu_butsuryu/pdf/index_koutuu_01.xlsx</x:v>
      </x:c>
      <x:c r="L7" s="32" t="n">
        <x:v>46256</x:v>
      </x:c>
    </x:row>
    <x:row r="8" ht="40" customHeight="1">
      <x:c r="A8" s="29" t="str">
        <x:v>R005</x:v>
      </x:c>
      <x:c r="B8" s="29" t="str">
        <x:v>S002</x:v>
      </x:c>
      <x:c r="C8" s="29" t="str">
        <x:v>23区</x:v>
      </x:c>
      <x:c r="D8" s="29" t="str">
        <x:v>中央区</x:v>
      </x:c>
      <x:c r="E8" s="29" t="str">
        <x:v>江戸バス</x:v>
      </x:c>
      <x:c r="F8" s="29" t="str">
        <x:v>北循環</x:v>
      </x:c>
      <x:c r="G8" s="29" t="str">
        <x:v>100円</x:v>
      </x:c>
      <x:c r="H8" s="29" t="str">
        <x:v>日立自動車交通</x:v>
      </x:c>
      <x:c r="I8" s="29" t="str">
        <x:v>対象</x:v>
      </x:c>
      <x:c r="J8" s="29" t="n">
        <x:v>7</x:v>
      </x:c>
      <x:c r="K8" s="34" t="str">
        <x:v>https://www.toshiseibi1.metro.tokyo.lg.jp/bunyabetsu/kotsu_butsuryu/pdf/index_koutuu_01.xlsx</x:v>
      </x:c>
      <x:c r="L8" s="32" t="n">
        <x:v>46256</x:v>
      </x:c>
    </x:row>
    <x:row r="9" ht="40" customHeight="1">
      <x:c r="A9" s="29" t="str">
        <x:v>R006</x:v>
      </x:c>
      <x:c r="B9" s="29" t="str">
        <x:v>S002</x:v>
      </x:c>
      <x:c r="C9" s="29" t="str">
        <x:v>23区</x:v>
      </x:c>
      <x:c r="D9" s="29" t="str">
        <x:v>中央区</x:v>
      </x:c>
      <x:c r="E9" s="29" t="str">
        <x:v>江戸バス</x:v>
      </x:c>
      <x:c r="F9" s="29" t="str">
        <x:v>南循環</x:v>
      </x:c>
      <x:c r="G9" s="29" t="str">
        <x:v>100円</x:v>
      </x:c>
      <x:c r="H9" s="29" t="str">
        <x:v>日立自動車交通</x:v>
      </x:c>
      <x:c r="I9" s="29" t="str">
        <x:v>対象</x:v>
      </x:c>
      <x:c r="J9" s="29" t="n">
        <x:v>8</x:v>
      </x:c>
      <x:c r="K9" s="34" t="str">
        <x:v>https://www.toshiseibi1.metro.tokyo.lg.jp/bunyabetsu/kotsu_butsuryu/pdf/index_koutuu_01.xlsx</x:v>
      </x:c>
      <x:c r="L9" s="32" t="n">
        <x:v>46256</x:v>
      </x:c>
    </x:row>
    <x:row r="10" ht="40" customHeight="1">
      <x:c r="A10" s="29" t="str">
        <x:v>R007</x:v>
      </x:c>
      <x:c r="B10" s="29" t="str">
        <x:v>S003</x:v>
      </x:c>
      <x:c r="C10" s="29" t="str">
        <x:v>23区</x:v>
      </x:c>
      <x:c r="D10" s="29" t="str">
        <x:v>港区</x:v>
      </x:c>
      <x:c r="E10" s="29" t="str">
        <x:v>ちぃばす</x:v>
      </x:c>
      <x:c r="F10" s="29" t="str">
        <x:v>田町ルート</x:v>
      </x:c>
      <x:c r="G10" s="29" t="str">
        <x:v>100円</x:v>
      </x:c>
      <x:c r="H10" s="29" t="str">
        <x:v>フジエクスプレス</x:v>
      </x:c>
      <x:c r="I10" s="29" t="str">
        <x:v>対象</x:v>
      </x:c>
      <x:c r="J10" s="29" t="n">
        <x:v>9</x:v>
      </x:c>
      <x:c r="K10" s="34" t="str">
        <x:v>https://www.toshiseibi1.metro.tokyo.lg.jp/bunyabetsu/kotsu_butsuryu/pdf/index_koutuu_01.xlsx</x:v>
      </x:c>
      <x:c r="L10" s="32" t="n">
        <x:v>46256</x:v>
      </x:c>
    </x:row>
    <x:row r="11" ht="40" customHeight="1">
      <x:c r="A11" s="29" t="str">
        <x:v>R008</x:v>
      </x:c>
      <x:c r="B11" s="29" t="str">
        <x:v>S003</x:v>
      </x:c>
      <x:c r="C11" s="29" t="str">
        <x:v>23区</x:v>
      </x:c>
      <x:c r="D11" s="29" t="str">
        <x:v>港区</x:v>
      </x:c>
      <x:c r="E11" s="29" t="str">
        <x:v>ちぃばす</x:v>
      </x:c>
      <x:c r="F11" s="29" t="str">
        <x:v>赤坂ルート</x:v>
      </x:c>
      <x:c r="G11" s="29" t="str">
        <x:v>100円</x:v>
      </x:c>
      <x:c r="H11" s="29" t="str">
        <x:v>フジエクスプレス</x:v>
      </x:c>
      <x:c r="I11" s="29" t="str">
        <x:v>対象</x:v>
      </x:c>
      <x:c r="J11" s="29" t="n">
        <x:v>10</x:v>
      </x:c>
      <x:c r="K11" s="34" t="str">
        <x:v>https://www.toshiseibi1.metro.tokyo.lg.jp/bunyabetsu/kotsu_butsuryu/pdf/index_koutuu_01.xlsx</x:v>
      </x:c>
      <x:c r="L11" s="32" t="n">
        <x:v>46256</x:v>
      </x:c>
    </x:row>
    <x:row r="12" ht="40" customHeight="1">
      <x:c r="A12" s="29" t="str">
        <x:v>R009</x:v>
      </x:c>
      <x:c r="B12" s="29" t="str">
        <x:v>S003</x:v>
      </x:c>
      <x:c r="C12" s="29" t="str">
        <x:v>23区</x:v>
      </x:c>
      <x:c r="D12" s="29" t="str">
        <x:v>港区</x:v>
      </x:c>
      <x:c r="E12" s="29" t="str">
        <x:v>ちぃばす</x:v>
      </x:c>
      <x:c r="F12" s="29" t="str">
        <x:v>芝ルート</x:v>
      </x:c>
      <x:c r="G12" s="29" t="str">
        <x:v>100円</x:v>
      </x:c>
      <x:c r="H12" s="29" t="str">
        <x:v>フジエクスプレス</x:v>
      </x:c>
      <x:c r="I12" s="29" t="str">
        <x:v>対象</x:v>
      </x:c>
      <x:c r="J12" s="29" t="n">
        <x:v>11</x:v>
      </x:c>
      <x:c r="K12" s="34" t="str">
        <x:v>https://www.toshiseibi1.metro.tokyo.lg.jp/bunyabetsu/kotsu_butsuryu/pdf/index_koutuu_01.xlsx</x:v>
      </x:c>
      <x:c r="L12" s="32" t="n">
        <x:v>46256</x:v>
      </x:c>
    </x:row>
    <x:row r="13" ht="40" customHeight="1">
      <x:c r="A13" s="29" t="str">
        <x:v>R010</x:v>
      </x:c>
      <x:c r="B13" s="29" t="str">
        <x:v>S003</x:v>
      </x:c>
      <x:c r="C13" s="29" t="str">
        <x:v>23区</x:v>
      </x:c>
      <x:c r="D13" s="29" t="str">
        <x:v>港区</x:v>
      </x:c>
      <x:c r="E13" s="29" t="str">
        <x:v>ちぃばす</x:v>
      </x:c>
      <x:c r="F13" s="29" t="str">
        <x:v>麻布東ルート</x:v>
      </x:c>
      <x:c r="G13" s="29" t="str">
        <x:v>100円</x:v>
      </x:c>
      <x:c r="H13" s="29" t="str">
        <x:v>フジエクスプレス</x:v>
      </x:c>
      <x:c r="I13" s="29" t="str">
        <x:v>対象</x:v>
      </x:c>
      <x:c r="J13" s="29" t="n">
        <x:v>12</x:v>
      </x:c>
      <x:c r="K13" s="34" t="str">
        <x:v>https://www.toshiseibi1.metro.tokyo.lg.jp/bunyabetsu/kotsu_butsuryu/pdf/index_koutuu_01.xlsx</x:v>
      </x:c>
      <x:c r="L13" s="32" t="n">
        <x:v>46256</x:v>
      </x:c>
    </x:row>
    <x:row r="14" ht="40" customHeight="1">
      <x:c r="A14" s="29" t="str">
        <x:v>R011</x:v>
      </x:c>
      <x:c r="B14" s="29" t="str">
        <x:v>S003</x:v>
      </x:c>
      <x:c r="C14" s="29" t="str">
        <x:v>23区</x:v>
      </x:c>
      <x:c r="D14" s="29" t="str">
        <x:v>港区</x:v>
      </x:c>
      <x:c r="E14" s="29" t="str">
        <x:v>ちぃばす</x:v>
      </x:c>
      <x:c r="F14" s="29" t="str">
        <x:v>麻布西ルート</x:v>
      </x:c>
      <x:c r="G14" s="29" t="str">
        <x:v>100円</x:v>
      </x:c>
      <x:c r="H14" s="29" t="str">
        <x:v>フジエクスプレス</x:v>
      </x:c>
      <x:c r="I14" s="29" t="str">
        <x:v>対象</x:v>
      </x:c>
      <x:c r="J14" s="29" t="n">
        <x:v>13</x:v>
      </x:c>
      <x:c r="K14" s="34" t="str">
        <x:v>https://www.toshiseibi1.metro.tokyo.lg.jp/bunyabetsu/kotsu_butsuryu/pdf/index_koutuu_01.xlsx</x:v>
      </x:c>
      <x:c r="L14" s="32" t="n">
        <x:v>46256</x:v>
      </x:c>
    </x:row>
    <x:row r="15" ht="40" customHeight="1">
      <x:c r="A15" s="29" t="str">
        <x:v>R012</x:v>
      </x:c>
      <x:c r="B15" s="29" t="str">
        <x:v>S003</x:v>
      </x:c>
      <x:c r="C15" s="29" t="str">
        <x:v>23区</x:v>
      </x:c>
      <x:c r="D15" s="29" t="str">
        <x:v>港区</x:v>
      </x:c>
      <x:c r="E15" s="29" t="str">
        <x:v>ちぃばす</x:v>
      </x:c>
      <x:c r="F15" s="29" t="str">
        <x:v>青山ルート</x:v>
      </x:c>
      <x:c r="G15" s="29" t="str">
        <x:v>100円</x:v>
      </x:c>
      <x:c r="H15" s="29" t="str">
        <x:v>フジエクスプレス</x:v>
      </x:c>
      <x:c r="I15" s="29" t="str">
        <x:v>対象</x:v>
      </x:c>
      <x:c r="J15" s="29" t="n">
        <x:v>14</x:v>
      </x:c>
      <x:c r="K15" s="34" t="str">
        <x:v>https://www.toshiseibi1.metro.tokyo.lg.jp/bunyabetsu/kotsu_butsuryu/pdf/index_koutuu_01.xlsx</x:v>
      </x:c>
      <x:c r="L15" s="32" t="n">
        <x:v>46256</x:v>
      </x:c>
    </x:row>
    <x:row r="16" ht="40" customHeight="1">
      <x:c r="A16" s="29" t="str">
        <x:v>R013</x:v>
      </x:c>
      <x:c r="B16" s="29" t="str">
        <x:v>S003</x:v>
      </x:c>
      <x:c r="C16" s="29" t="str">
        <x:v>23区</x:v>
      </x:c>
      <x:c r="D16" s="29" t="str">
        <x:v>港区</x:v>
      </x:c>
      <x:c r="E16" s="29" t="str">
        <x:v>ちぃばす</x:v>
      </x:c>
      <x:c r="F16" s="29" t="str">
        <x:v>高輪ルート</x:v>
      </x:c>
      <x:c r="G16" s="29" t="str">
        <x:v>100円</x:v>
      </x:c>
      <x:c r="H16" s="29" t="str">
        <x:v>フジエクスプレス</x:v>
      </x:c>
      <x:c r="I16" s="29" t="str">
        <x:v>対象</x:v>
      </x:c>
      <x:c r="J16" s="29" t="n">
        <x:v>15</x:v>
      </x:c>
      <x:c r="K16" s="34" t="str">
        <x:v>https://www.toshiseibi1.metro.tokyo.lg.jp/bunyabetsu/kotsu_butsuryu/pdf/index_koutuu_01.xlsx</x:v>
      </x:c>
      <x:c r="L16" s="32" t="n">
        <x:v>46256</x:v>
      </x:c>
    </x:row>
    <x:row r="17" ht="40" customHeight="1">
      <x:c r="A17" s="29" t="str">
        <x:v>R014</x:v>
      </x:c>
      <x:c r="B17" s="29" t="str">
        <x:v>S003</x:v>
      </x:c>
      <x:c r="C17" s="29" t="str">
        <x:v>23区</x:v>
      </x:c>
      <x:c r="D17" s="29" t="str">
        <x:v>港区</x:v>
      </x:c>
      <x:c r="E17" s="29" t="str">
        <x:v>ちぃばす</x:v>
      </x:c>
      <x:c r="F17" s="29" t="str">
        <x:v>芝浦港南ルート</x:v>
      </x:c>
      <x:c r="G17" s="29" t="str">
        <x:v>100円</x:v>
      </x:c>
      <x:c r="H17" s="29" t="str">
        <x:v>フジエクスプレス</x:v>
      </x:c>
      <x:c r="I17" s="29" t="str">
        <x:v>対象</x:v>
      </x:c>
      <x:c r="J17" s="29" t="n">
        <x:v>16</x:v>
      </x:c>
      <x:c r="K17" s="34" t="str">
        <x:v>https://www.toshiseibi1.metro.tokyo.lg.jp/bunyabetsu/kotsu_butsuryu/pdf/index_koutuu_01.xlsx</x:v>
      </x:c>
      <x:c r="L17" s="32" t="n">
        <x:v>46256</x:v>
      </x:c>
    </x:row>
    <x:row r="18" ht="40" customHeight="1">
      <x:c r="A18" s="29" t="str">
        <x:v>R015</x:v>
      </x:c>
      <x:c r="B18" s="29" t="str">
        <x:v>S004</x:v>
      </x:c>
      <x:c r="C18" s="29" t="str">
        <x:v>23区</x:v>
      </x:c>
      <x:c r="D18" s="29" t="str">
        <x:v>新宿区</x:v>
      </x:c>
      <x:c r="E18" s="29" t="str">
        <x:v>新宿WEバス</x:v>
      </x:c>
      <x:c r="F18" s="29" t="str">
        <x:v>新宿御苑ルート</x:v>
      </x:c>
      <x:c r="G18" s="29" t="str">
        <x:v>100円</x:v>
      </x:c>
      <x:c r="H18" s="29" t="str">
        <x:v>京王バス</x:v>
      </x:c>
      <x:c r="I18" s="29" t="str">
        <x:v>対象</x:v>
      </x:c>
      <x:c r="J18" s="29" t="n">
        <x:v>17</x:v>
      </x:c>
      <x:c r="K18" s="34" t="str">
        <x:v>https://www.toshiseibi1.metro.tokyo.lg.jp/bunyabetsu/kotsu_butsuryu/pdf/index_koutuu_01.xlsx</x:v>
      </x:c>
      <x:c r="L18" s="32" t="n">
        <x:v>46256</x:v>
      </x:c>
    </x:row>
    <x:row r="19" ht="40" customHeight="1">
      <x:c r="A19" s="29" t="str">
        <x:v>R016</x:v>
      </x:c>
      <x:c r="B19" s="29" t="str">
        <x:v>S004</x:v>
      </x:c>
      <x:c r="C19" s="29" t="str">
        <x:v>23区</x:v>
      </x:c>
      <x:c r="D19" s="29" t="str">
        <x:v>新宿区</x:v>
      </x:c>
      <x:c r="E19" s="29" t="str">
        <x:v>新宿WEバス</x:v>
      </x:c>
      <x:c r="F19" s="29" t="str">
        <x:v>西ルート</x:v>
      </x:c>
      <x:c r="G19" s="29" t="str">
        <x:v>100円</x:v>
      </x:c>
      <x:c r="H19" s="29" t="str">
        <x:v>京王バス</x:v>
      </x:c>
      <x:c r="I19" s="29" t="str">
        <x:v>対象</x:v>
      </x:c>
      <x:c r="J19" s="29" t="n">
        <x:v>18</x:v>
      </x:c>
      <x:c r="K19" s="34" t="str">
        <x:v>https://www.toshiseibi1.metro.tokyo.lg.jp/bunyabetsu/kotsu_butsuryu/pdf/index_koutuu_01.xlsx</x:v>
      </x:c>
      <x:c r="L19" s="32" t="n">
        <x:v>46256</x:v>
      </x:c>
    </x:row>
    <x:row r="20" ht="40" customHeight="1">
      <x:c r="A20" s="29" t="str">
        <x:v>R017</x:v>
      </x:c>
      <x:c r="B20" s="29" t="str">
        <x:v>S005</x:v>
      </x:c>
      <x:c r="C20" s="29" t="str">
        <x:v>23区</x:v>
      </x:c>
      <x:c r="D20" s="29" t="str">
        <x:v>文京区</x:v>
      </x:c>
      <x:c r="E20" s="29" t="str">
        <x:v>B－ぐる</x:v>
      </x:c>
      <x:c r="F20" s="29" t="str">
        <x:v>千駄木・駒込ルート</x:v>
      </x:c>
      <x:c r="G20" s="29" t="str">
        <x:v>100円</x:v>
      </x:c>
      <x:c r="H20" s="29" t="str">
        <x:v>日立自動車交通</x:v>
      </x:c>
      <x:c r="I20" s="29" t="str">
        <x:v>対象</x:v>
      </x:c>
      <x:c r="J20" s="29" t="n">
        <x:v>19</x:v>
      </x:c>
      <x:c r="K20" s="34" t="str">
        <x:v>https://www.toshiseibi1.metro.tokyo.lg.jp/bunyabetsu/kotsu_butsuryu/pdf/index_koutuu_01.xlsx</x:v>
      </x:c>
      <x:c r="L20" s="32" t="n">
        <x:v>46256</x:v>
      </x:c>
    </x:row>
    <x:row r="21" ht="40" customHeight="1">
      <x:c r="A21" s="29" t="str">
        <x:v>R018</x:v>
      </x:c>
      <x:c r="B21" s="29" t="str">
        <x:v>S005</x:v>
      </x:c>
      <x:c r="C21" s="29" t="str">
        <x:v>23区</x:v>
      </x:c>
      <x:c r="D21" s="29" t="str">
        <x:v>文京区</x:v>
      </x:c>
      <x:c r="E21" s="29" t="str">
        <x:v>B－ぐる</x:v>
      </x:c>
      <x:c r="F21" s="29" t="str">
        <x:v>目白台・小日向ルート</x:v>
      </x:c>
      <x:c r="G21" s="29" t="str">
        <x:v>100円</x:v>
      </x:c>
      <x:c r="H21" s="29" t="str">
        <x:v>日立自動車交通</x:v>
      </x:c>
      <x:c r="I21" s="29" t="str">
        <x:v>対象</x:v>
      </x:c>
      <x:c r="J21" s="29" t="n">
        <x:v>20</x:v>
      </x:c>
      <x:c r="K21" s="34" t="str">
        <x:v>https://www.toshiseibi1.metro.tokyo.lg.jp/bunyabetsu/kotsu_butsuryu/pdf/index_koutuu_01.xlsx</x:v>
      </x:c>
      <x:c r="L21" s="32" t="n">
        <x:v>46256</x:v>
      </x:c>
    </x:row>
    <x:row r="22" ht="40" customHeight="1">
      <x:c r="A22" s="29" t="str">
        <x:v>R019</x:v>
      </x:c>
      <x:c r="B22" s="29" t="str">
        <x:v>S005</x:v>
      </x:c>
      <x:c r="C22" s="29" t="str">
        <x:v>23区</x:v>
      </x:c>
      <x:c r="D22" s="29" t="str">
        <x:v>文京区</x:v>
      </x:c>
      <x:c r="E22" s="29" t="str">
        <x:v>B－ぐる</x:v>
      </x:c>
      <x:c r="F22" s="29" t="str">
        <x:v>本郷・湯島ルート</x:v>
      </x:c>
      <x:c r="G22" s="29" t="str">
        <x:v>100円</x:v>
      </x:c>
      <x:c r="H22" s="29" t="str">
        <x:v>日立自動車交通</x:v>
      </x:c>
      <x:c r="I22" s="29" t="str">
        <x:v>対象</x:v>
      </x:c>
      <x:c r="J22" s="29" t="n">
        <x:v>21</x:v>
      </x:c>
      <x:c r="K22" s="34" t="str">
        <x:v>https://www.toshiseibi1.metro.tokyo.lg.jp/bunyabetsu/kotsu_butsuryu/pdf/index_koutuu_01.xlsx</x:v>
      </x:c>
      <x:c r="L22" s="32" t="n">
        <x:v>46256</x:v>
      </x:c>
    </x:row>
    <x:row r="23" ht="40" customHeight="1">
      <x:c r="A23" s="29" t="str">
        <x:v>R020</x:v>
      </x:c>
      <x:c r="B23" s="29" t="str">
        <x:v>S006</x:v>
      </x:c>
      <x:c r="C23" s="29" t="str">
        <x:v>23区</x:v>
      </x:c>
      <x:c r="D23" s="29" t="str">
        <x:v>台東区</x:v>
      </x:c>
      <x:c r="E23" s="29" t="str">
        <x:v>めぐりん</x:v>
      </x:c>
      <x:c r="F23" s="29" t="str">
        <x:v>北めぐりん（浅草回り）</x:v>
      </x:c>
      <x:c r="G23" s="29" t="str">
        <x:v>100円</x:v>
      </x:c>
      <x:c r="H23" s="29" t="str">
        <x:v>日立自動車交通</x:v>
      </x:c>
      <x:c r="I23" s="29" t="str">
        <x:v>対象</x:v>
      </x:c>
      <x:c r="J23" s="29" t="n">
        <x:v>22</x:v>
      </x:c>
      <x:c r="K23" s="34" t="str">
        <x:v>https://www.toshiseibi1.metro.tokyo.lg.jp/bunyabetsu/kotsu_butsuryu/pdf/index_koutuu_01.xlsx</x:v>
      </x:c>
      <x:c r="L23" s="32" t="n">
        <x:v>46256</x:v>
      </x:c>
    </x:row>
    <x:row r="24" ht="40" customHeight="1">
      <x:c r="A24" s="29" t="str">
        <x:v>R021</x:v>
      </x:c>
      <x:c r="B24" s="29" t="str">
        <x:v>S006</x:v>
      </x:c>
      <x:c r="C24" s="29" t="str">
        <x:v>23区</x:v>
      </x:c>
      <x:c r="D24" s="29" t="str">
        <x:v>台東区</x:v>
      </x:c>
      <x:c r="E24" s="29" t="str">
        <x:v>めぐりん</x:v>
      </x:c>
      <x:c r="F24" s="29" t="str">
        <x:v>北めぐりん（根岸回り）</x:v>
      </x:c>
      <x:c r="G24" s="29" t="str">
        <x:v>100円</x:v>
      </x:c>
      <x:c r="H24" s="29" t="str">
        <x:v>日立自動車交通</x:v>
      </x:c>
      <x:c r="I24" s="29" t="str">
        <x:v>対象</x:v>
      </x:c>
      <x:c r="J24" s="29" t="n">
        <x:v>23</x:v>
      </x:c>
      <x:c r="K24" s="34" t="str">
        <x:v>https://www.toshiseibi1.metro.tokyo.lg.jp/bunyabetsu/kotsu_butsuryu/pdf/index_koutuu_01.xlsx</x:v>
      </x:c>
      <x:c r="L24" s="32" t="n">
        <x:v>46256</x:v>
      </x:c>
    </x:row>
    <x:row r="25" ht="40" customHeight="1">
      <x:c r="A25" s="29" t="str">
        <x:v>R022</x:v>
      </x:c>
      <x:c r="B25" s="29" t="str">
        <x:v>S006</x:v>
      </x:c>
      <x:c r="C25" s="29" t="str">
        <x:v>23区</x:v>
      </x:c>
      <x:c r="D25" s="29" t="str">
        <x:v>台東区</x:v>
      </x:c>
      <x:c r="E25" s="29" t="str">
        <x:v>めぐりん</x:v>
      </x:c>
      <x:c r="F25" s="29" t="str">
        <x:v>南めぐりん</x:v>
      </x:c>
      <x:c r="G25" s="29" t="str">
        <x:v>100円</x:v>
      </x:c>
      <x:c r="H25" s="29" t="str">
        <x:v>日立自動車交通</x:v>
      </x:c>
      <x:c r="I25" s="29" t="str">
        <x:v>対象</x:v>
      </x:c>
      <x:c r="J25" s="29" t="n">
        <x:v>24</x:v>
      </x:c>
      <x:c r="K25" s="34" t="str">
        <x:v>https://www.toshiseibi1.metro.tokyo.lg.jp/bunyabetsu/kotsu_butsuryu/pdf/index_koutuu_01.xlsx</x:v>
      </x:c>
      <x:c r="L25" s="32" t="n">
        <x:v>46256</x:v>
      </x:c>
    </x:row>
    <x:row r="26" ht="40" customHeight="1">
      <x:c r="A26" s="29" t="str">
        <x:v>R023</x:v>
      </x:c>
      <x:c r="B26" s="29" t="str">
        <x:v>S006</x:v>
      </x:c>
      <x:c r="C26" s="29" t="str">
        <x:v>23区</x:v>
      </x:c>
      <x:c r="D26" s="29" t="str">
        <x:v>台東区</x:v>
      </x:c>
      <x:c r="E26" s="29" t="str">
        <x:v>めぐりん</x:v>
      </x:c>
      <x:c r="F26" s="29" t="str">
        <x:v>東西めぐりん</x:v>
      </x:c>
      <x:c r="G26" s="29" t="str">
        <x:v>100円</x:v>
      </x:c>
      <x:c r="H26" s="29" t="str">
        <x:v>日立自動車交通</x:v>
      </x:c>
      <x:c r="I26" s="29" t="str">
        <x:v>対象</x:v>
      </x:c>
      <x:c r="J26" s="29" t="n">
        <x:v>25</x:v>
      </x:c>
      <x:c r="K26" s="34" t="str">
        <x:v>https://www.toshiseibi1.metro.tokyo.lg.jp/bunyabetsu/kotsu_butsuryu/pdf/index_koutuu_01.xlsx</x:v>
      </x:c>
      <x:c r="L26" s="32" t="n">
        <x:v>46256</x:v>
      </x:c>
    </x:row>
    <x:row r="27" ht="40" customHeight="1">
      <x:c r="A27" s="29" t="str">
        <x:v>R024</x:v>
      </x:c>
      <x:c r="B27" s="29" t="str">
        <x:v>S006</x:v>
      </x:c>
      <x:c r="C27" s="29" t="str">
        <x:v>23区</x:v>
      </x:c>
      <x:c r="D27" s="29" t="str">
        <x:v>台東区</x:v>
      </x:c>
      <x:c r="E27" s="29" t="str">
        <x:v>めぐりん</x:v>
      </x:c>
      <x:c r="F27" s="29" t="str">
        <x:v>ぐるーりめぐりん</x:v>
      </x:c>
      <x:c r="G27" s="29" t="str">
        <x:v>100円</x:v>
      </x:c>
      <x:c r="H27" s="29" t="str">
        <x:v>京成バス</x:v>
      </x:c>
      <x:c r="I27" s="29" t="str">
        <x:v>対象</x:v>
      </x:c>
      <x:c r="J27" s="29" t="n">
        <x:v>26</x:v>
      </x:c>
      <x:c r="K27" s="34" t="str">
        <x:v>https://www.toshiseibi1.metro.tokyo.lg.jp/bunyabetsu/kotsu_butsuryu/pdf/index_koutuu_01.xlsx</x:v>
      </x:c>
      <x:c r="L27" s="32" t="n">
        <x:v>46256</x:v>
      </x:c>
    </x:row>
    <x:row r="28" ht="40" customHeight="1">
      <x:c r="A28" s="29" t="str">
        <x:v>R025</x:v>
      </x:c>
      <x:c r="B28" s="29" t="str">
        <x:v>S007</x:v>
      </x:c>
      <x:c r="C28" s="29" t="str">
        <x:v>23区</x:v>
      </x:c>
      <x:c r="D28" s="29" t="str">
        <x:v>墨田区</x:v>
      </x:c>
      <x:c r="E28" s="29" t="str">
        <x:v>墨田区内循環バス「すみだ百景 すみまるくん・すみりんちゃん」</x:v>
      </x:c>
      <x:c r="F28" s="29" t="str">
        <x:v>北西部ルート</x:v>
      </x:c>
      <x:c r="G28" s="29" t="str">
        <x:v>100円</x:v>
      </x:c>
      <x:c r="H28" s="29" t="str">
        <x:v>京成バス</x:v>
      </x:c>
      <x:c r="I28" s="29" t="str">
        <x:v>対象</x:v>
      </x:c>
      <x:c r="J28" s="29" t="n">
        <x:v>27</x:v>
      </x:c>
      <x:c r="K28" s="34" t="str">
        <x:v>https://www.toshiseibi1.metro.tokyo.lg.jp/bunyabetsu/kotsu_butsuryu/pdf/index_koutuu_01.xlsx</x:v>
      </x:c>
      <x:c r="L28" s="32" t="n">
        <x:v>46256</x:v>
      </x:c>
    </x:row>
    <x:row r="29" ht="40" customHeight="1">
      <x:c r="A29" s="29" t="str">
        <x:v>R026</x:v>
      </x:c>
      <x:c r="B29" s="29" t="str">
        <x:v>S007</x:v>
      </x:c>
      <x:c r="C29" s="29" t="str">
        <x:v>23区</x:v>
      </x:c>
      <x:c r="D29" s="29" t="str">
        <x:v>墨田区</x:v>
      </x:c>
      <x:c r="E29" s="29" t="str">
        <x:v>墨田区内循環バス「すみだ百景 すみまるくん・すみりんちゃん」</x:v>
      </x:c>
      <x:c r="F29" s="29" t="str">
        <x:v>北東部ルート</x:v>
      </x:c>
      <x:c r="G29" s="29" t="str">
        <x:v>100円</x:v>
      </x:c>
      <x:c r="H29" s="29" t="str">
        <x:v>京成バス</x:v>
      </x:c>
      <x:c r="I29" s="29" t="str">
        <x:v>対象</x:v>
      </x:c>
      <x:c r="J29" s="29" t="n">
        <x:v>28</x:v>
      </x:c>
      <x:c r="K29" s="34" t="str">
        <x:v>https://www.toshiseibi1.metro.tokyo.lg.jp/bunyabetsu/kotsu_butsuryu/pdf/index_koutuu_01.xlsx</x:v>
      </x:c>
      <x:c r="L29" s="32" t="n">
        <x:v>46256</x:v>
      </x:c>
    </x:row>
    <x:row r="30" ht="40" customHeight="1">
      <x:c r="A30" s="29" t="str">
        <x:v>R027</x:v>
      </x:c>
      <x:c r="B30" s="29" t="str">
        <x:v>S007</x:v>
      </x:c>
      <x:c r="C30" s="29" t="str">
        <x:v>23区</x:v>
      </x:c>
      <x:c r="D30" s="29" t="str">
        <x:v>墨田区</x:v>
      </x:c>
      <x:c r="E30" s="29" t="str">
        <x:v>墨田区内循環バス「すみだ百景 すみまるくん・すみりんちゃん」</x:v>
      </x:c>
      <x:c r="F30" s="29" t="str">
        <x:v>南部ルート</x:v>
      </x:c>
      <x:c r="G30" s="29" t="str">
        <x:v>100円</x:v>
      </x:c>
      <x:c r="H30" s="29" t="str">
        <x:v>京成バス</x:v>
      </x:c>
      <x:c r="I30" s="29" t="str">
        <x:v>対象</x:v>
      </x:c>
      <x:c r="J30" s="29" t="n">
        <x:v>29</x:v>
      </x:c>
      <x:c r="K30" s="34" t="str">
        <x:v>https://www.toshiseibi1.metro.tokyo.lg.jp/bunyabetsu/kotsu_butsuryu/pdf/index_koutuu_01.xlsx</x:v>
      </x:c>
      <x:c r="L30" s="32" t="n">
        <x:v>46256</x:v>
      </x:c>
    </x:row>
    <x:row r="31" ht="40" customHeight="1">
      <x:c r="A31" s="29" t="str">
        <x:v>R028</x:v>
      </x:c>
      <x:c r="B31" s="29" t="str">
        <x:v>S008</x:v>
      </x:c>
      <x:c r="C31" s="29" t="str">
        <x:v>23区</x:v>
      </x:c>
      <x:c r="D31" s="29" t="str">
        <x:v>江東区</x:v>
      </x:c>
      <x:c r="E31" s="29" t="str">
        <x:v>しおかぜ</x:v>
      </x:c>
      <x:c r="F31" s="29" t="str">
        <x:v>木場ルート⇔潮見駅⇔辰巳ルート（循環）</x:v>
      </x:c>
      <x:c r="G31" s="29" t="str">
        <x:v>100円</x:v>
      </x:c>
      <x:c r="H31" s="29" t="str">
        <x:v>東京都交通局</x:v>
      </x:c>
      <x:c r="I31" s="29" t="str">
        <x:v>除外（都営バス）</x:v>
      </x:c>
      <x:c r="J31" s="29" t="n">
        <x:v>30</x:v>
      </x:c>
      <x:c r="K31" s="34" t="str">
        <x:v>https://www.toshiseibi1.metro.tokyo.lg.jp/bunyabetsu/kotsu_butsuryu/pdf/index_koutuu_01.xlsx</x:v>
      </x:c>
      <x:c r="L31" s="32" t="n">
        <x:v>46256</x:v>
      </x:c>
    </x:row>
    <x:row r="32" ht="40" customHeight="1">
      <x:c r="A32" s="29" t="str">
        <x:v>R029</x:v>
      </x:c>
      <x:c r="B32" s="29" t="str">
        <x:v>S009</x:v>
      </x:c>
      <x:c r="C32" s="29" t="str">
        <x:v>23区</x:v>
      </x:c>
      <x:c r="D32" s="29" t="str">
        <x:v>品川区</x:v>
      </x:c>
      <x:c r="E32" s="29" t="str">
        <x:v>しなバス</x:v>
      </x:c>
      <x:c r="F32" s="29" t="str">
        <x:v>大井ルート</x:v>
      </x:c>
      <x:c r="G32" s="29" t="str">
        <x:v>220円</x:v>
      </x:c>
      <x:c r="H32" s="29" t="str">
        <x:v>東急バス</x:v>
      </x:c>
      <x:c r="I32" s="29" t="str">
        <x:v>対象</x:v>
      </x:c>
      <x:c r="J32" s="29" t="n">
        <x:v>31</x:v>
      </x:c>
      <x:c r="K32" s="34" t="str">
        <x:v>https://www.toshiseibi1.metro.tokyo.lg.jp/bunyabetsu/kotsu_butsuryu/pdf/index_koutuu_01.xlsx</x:v>
      </x:c>
      <x:c r="L32" s="32" t="n">
        <x:v>46256</x:v>
      </x:c>
    </x:row>
    <x:row r="33" ht="40" customHeight="1">
      <x:c r="A33" s="29" t="str">
        <x:v>R030</x:v>
      </x:c>
      <x:c r="B33" s="29" t="str">
        <x:v>S010</x:v>
      </x:c>
      <x:c r="C33" s="29" t="str">
        <x:v>23区</x:v>
      </x:c>
      <x:c r="D33" s="29" t="str">
        <x:v>大田区</x:v>
      </x:c>
      <x:c r="E33" s="29" t="str">
        <x:v>たまちゃんバス</x:v>
      </x:c>
      <x:c r="F33" s="29" t="str">
        <x:v>下丸子循環線</x:v>
      </x:c>
      <x:c r="G33" s="29" t="str">
        <x:v>大人160円 小児80円</x:v>
      </x:c>
      <x:c r="H33" s="29" t="str">
        <x:v>東急バス</x:v>
      </x:c>
      <x:c r="I33" s="29" t="str">
        <x:v>対象</x:v>
      </x:c>
      <x:c r="J33" s="29" t="n">
        <x:v>32</x:v>
      </x:c>
      <x:c r="K33" s="34" t="str">
        <x:v>https://www.toshiseibi1.metro.tokyo.lg.jp/bunyabetsu/kotsu_butsuryu/pdf/index_koutuu_01.xlsx</x:v>
      </x:c>
      <x:c r="L33" s="32" t="n">
        <x:v>46256</x:v>
      </x:c>
    </x:row>
    <x:row r="34" ht="40" customHeight="1">
      <x:c r="A34" s="29" t="str">
        <x:v>R031</x:v>
      </x:c>
      <x:c r="B34" s="29" t="str">
        <x:v>S011</x:v>
      </x:c>
      <x:c r="C34" s="29" t="str">
        <x:v>23区</x:v>
      </x:c>
      <x:c r="D34" s="29" t="str">
        <x:v>世田谷区</x:v>
      </x:c>
      <x:c r="E34" s="29" t="str">
        <x:v>砧・大蔵地区予約制乗合ワゴン実証運行</x:v>
      </x:c>
      <x:c r="F34" s="29" t="str">
        <x:v>砧・大蔵地区</x:v>
      </x:c>
      <x:c r="G34" s="29" t="str">
        <x:v>大人300円 小児150円 未就学児無料 70歳以上100円（乗車割引証の提示必要）</x:v>
      </x:c>
      <x:c r="H34" s="29" t="str">
        <x:v>東急バス</x:v>
      </x:c>
      <x:c r="I34" s="29" t="str">
        <x:v>対象</x:v>
      </x:c>
      <x:c r="J34" s="29" t="n">
        <x:v>33</x:v>
      </x:c>
      <x:c r="K34" s="34" t="str">
        <x:v>https://www.toshiseibi1.metro.tokyo.lg.jp/bunyabetsu/kotsu_butsuryu/pdf/index_koutuu_01.xlsx</x:v>
      </x:c>
      <x:c r="L34" s="32" t="n">
        <x:v>46256</x:v>
      </x:c>
    </x:row>
    <x:row r="35" ht="40" customHeight="1">
      <x:c r="A35" s="29" t="str">
        <x:v>R032</x:v>
      </x:c>
      <x:c r="B35" s="29" t="str">
        <x:v>S012</x:v>
      </x:c>
      <x:c r="C35" s="29" t="str">
        <x:v>23区</x:v>
      </x:c>
      <x:c r="D35" s="29" t="str">
        <x:v>渋谷区</x:v>
      </x:c>
      <x:c r="E35" s="29" t="str">
        <x:v>ハチ公バス</x:v>
      </x:c>
      <x:c r="F35" s="29" t="str">
        <x:v>「夕やけこやけルート」 （恵比寿・代官山ルート）</x:v>
      </x:c>
      <x:c r="G35" s="29" t="str">
        <x:v>小学生以上一律100円</x:v>
      </x:c>
      <x:c r="H35" s="29" t="str">
        <x:v>東急バス</x:v>
      </x:c>
      <x:c r="I35" s="29" t="str">
        <x:v>対象</x:v>
      </x:c>
      <x:c r="J35" s="29" t="n">
        <x:v>34</x:v>
      </x:c>
      <x:c r="K35" s="34" t="str">
        <x:v>https://www.toshiseibi1.metro.tokyo.lg.jp/bunyabetsu/kotsu_butsuryu/pdf/index_koutuu_01.xlsx</x:v>
      </x:c>
      <x:c r="L35" s="32" t="n">
        <x:v>46256</x:v>
      </x:c>
    </x:row>
    <x:row r="36" ht="40" customHeight="1">
      <x:c r="A36" s="29" t="str">
        <x:v>R033</x:v>
      </x:c>
      <x:c r="B36" s="29" t="str">
        <x:v>S012</x:v>
      </x:c>
      <x:c r="C36" s="29" t="str">
        <x:v>23区</x:v>
      </x:c>
      <x:c r="D36" s="29" t="str">
        <x:v>渋谷区</x:v>
      </x:c>
      <x:c r="E36" s="29" t="str">
        <x:v>ハチ公バス</x:v>
      </x:c>
      <x:c r="F36" s="29" t="str">
        <x:v>「春の小川ルート」 （本町・笹塚ルート）</x:v>
      </x:c>
      <x:c r="G36" s="29" t="str">
        <x:v>小学生以上一律100円</x:v>
      </x:c>
      <x:c r="H36" s="29" t="str">
        <x:v>京王バス</x:v>
      </x:c>
      <x:c r="I36" s="29" t="str">
        <x:v>対象</x:v>
      </x:c>
      <x:c r="J36" s="29" t="n">
        <x:v>35</x:v>
      </x:c>
      <x:c r="K36" s="34" t="str">
        <x:v>https://www.toshiseibi1.metro.tokyo.lg.jp/bunyabetsu/kotsu_butsuryu/pdf/index_koutuu_01.xlsx</x:v>
      </x:c>
      <x:c r="L36" s="32" t="n">
        <x:v>46256</x:v>
      </x:c>
    </x:row>
    <x:row r="37" ht="40" customHeight="1">
      <x:c r="A37" s="29" t="str">
        <x:v>R034</x:v>
      </x:c>
      <x:c r="B37" s="29" t="str">
        <x:v>S012</x:v>
      </x:c>
      <x:c r="C37" s="29" t="str">
        <x:v>23区</x:v>
      </x:c>
      <x:c r="D37" s="29" t="str">
        <x:v>渋谷区</x:v>
      </x:c>
      <x:c r="E37" s="29" t="str">
        <x:v>ハチ公バス</x:v>
      </x:c>
      <x:c r="F37" s="29" t="str">
        <x:v>「神宮の杜ルート」 （神宮前・千駄ヶ谷ルート）</x:v>
      </x:c>
      <x:c r="G37" s="29" t="str">
        <x:v>小学生以上一律100円</x:v>
      </x:c>
      <x:c r="H37" s="29" t="str">
        <x:v>東急バス</x:v>
      </x:c>
      <x:c r="I37" s="29" t="str">
        <x:v>対象</x:v>
      </x:c>
      <x:c r="J37" s="29" t="n">
        <x:v>36</x:v>
      </x:c>
      <x:c r="K37" s="34" t="str">
        <x:v>https://www.toshiseibi1.metro.tokyo.lg.jp/bunyabetsu/kotsu_butsuryu/pdf/index_koutuu_01.xlsx</x:v>
      </x:c>
      <x:c r="L37" s="32" t="n">
        <x:v>46256</x:v>
      </x:c>
    </x:row>
    <x:row r="38" ht="40" customHeight="1">
      <x:c r="A38" s="29" t="str">
        <x:v>R035</x:v>
      </x:c>
      <x:c r="B38" s="29" t="str">
        <x:v>S012</x:v>
      </x:c>
      <x:c r="C38" s="29" t="str">
        <x:v>23区</x:v>
      </x:c>
      <x:c r="D38" s="29" t="str">
        <x:v>渋谷区</x:v>
      </x:c>
      <x:c r="E38" s="29" t="str">
        <x:v>ハチ公バス</x:v>
      </x:c>
      <x:c r="F38" s="29" t="str">
        <x:v>「丘を越えてルート」 （上原・富ヶ谷ルート）</x:v>
      </x:c>
      <x:c r="G38" s="29" t="str">
        <x:v>小学生以上一律100円</x:v>
      </x:c>
      <x:c r="H38" s="29" t="str">
        <x:v>京王バス</x:v>
      </x:c>
      <x:c r="I38" s="29" t="str">
        <x:v>対象</x:v>
      </x:c>
      <x:c r="J38" s="29" t="n">
        <x:v>37</x:v>
      </x:c>
      <x:c r="K38" s="34" t="str">
        <x:v>https://www.toshiseibi1.metro.tokyo.lg.jp/bunyabetsu/kotsu_butsuryu/pdf/index_koutuu_01.xlsx</x:v>
      </x:c>
      <x:c r="L38" s="32" t="n">
        <x:v>46256</x:v>
      </x:c>
    </x:row>
    <x:row r="39" ht="40" customHeight="1">
      <x:c r="A39" s="29" t="str">
        <x:v>R036</x:v>
      </x:c>
      <x:c r="B39" s="29" t="str">
        <x:v>S013</x:v>
      </x:c>
      <x:c r="C39" s="29" t="str">
        <x:v>23区</x:v>
      </x:c>
      <x:c r="D39" s="29" t="str">
        <x:v>中野区</x:v>
      </x:c>
      <x:c r="E39" s="29" t="str">
        <x:v>中野区実証運行</x:v>
      </x:c>
      <x:c r="F39" s="29" t="str">
        <x:v>K05、K06</x:v>
      </x:c>
      <x:c r="G39" s="29" t="str">
        <x:v>大人200円 小人100円 関東バスの定期券・一日乗車券の利用可 70歳以上100円（高齢者割引証の提示必要）</x:v>
      </x:c>
      <x:c r="H39" s="29" t="str">
        <x:v>関東バス</x:v>
      </x:c>
      <x:c r="I39" s="29" t="str">
        <x:v>対象</x:v>
      </x:c>
      <x:c r="J39" s="29" t="n">
        <x:v>38</x:v>
      </x:c>
      <x:c r="K39" s="34" t="str">
        <x:v>https://www.toshiseibi1.metro.tokyo.lg.jp/bunyabetsu/kotsu_butsuryu/pdf/index_koutuu_01.xlsx</x:v>
      </x:c>
      <x:c r="L39" s="32" t="n">
        <x:v>46256</x:v>
      </x:c>
    </x:row>
    <x:row r="40" ht="40" customHeight="1">
      <x:c r="A40" s="29" t="str">
        <x:v>R037</x:v>
      </x:c>
      <x:c r="B40" s="29" t="str">
        <x:v>S014</x:v>
      </x:c>
      <x:c r="C40" s="29" t="str">
        <x:v>23区</x:v>
      </x:c>
      <x:c r="D40" s="29" t="str">
        <x:v>杉並区</x:v>
      </x:c>
      <x:c r="E40" s="29" t="str">
        <x:v>すぎ丸</x:v>
      </x:c>
      <x:c r="F40" s="29" t="str">
        <x:v>けやき路線</x:v>
      </x:c>
      <x:c r="G40" s="29" t="str">
        <x:v>100円 未就学児無料</x:v>
      </x:c>
      <x:c r="H40" s="29" t="str">
        <x:v>京王バス</x:v>
      </x:c>
      <x:c r="I40" s="29" t="str">
        <x:v>対象</x:v>
      </x:c>
      <x:c r="J40" s="29" t="n">
        <x:v>39</x:v>
      </x:c>
      <x:c r="K40" s="34" t="str">
        <x:v>https://www.toshiseibi1.metro.tokyo.lg.jp/bunyabetsu/kotsu_butsuryu/pdf/index_koutuu_01.xlsx</x:v>
      </x:c>
      <x:c r="L40" s="32" t="n">
        <x:v>46256</x:v>
      </x:c>
    </x:row>
    <x:row r="41" ht="40" customHeight="1">
      <x:c r="A41" s="29" t="str">
        <x:v>R038</x:v>
      </x:c>
      <x:c r="B41" s="29" t="str">
        <x:v>S014</x:v>
      </x:c>
      <x:c r="C41" s="29" t="str">
        <x:v>23区</x:v>
      </x:c>
      <x:c r="D41" s="29" t="str">
        <x:v>杉並区</x:v>
      </x:c>
      <x:c r="E41" s="29" t="str">
        <x:v>すぎ丸</x:v>
      </x:c>
      <x:c r="F41" s="29" t="str">
        <x:v>さくら路線</x:v>
      </x:c>
      <x:c r="G41" s="29" t="str">
        <x:v>100円 未就学児無料</x:v>
      </x:c>
      <x:c r="H41" s="29" t="str">
        <x:v>京王バス</x:v>
      </x:c>
      <x:c r="I41" s="29" t="str">
        <x:v>対象</x:v>
      </x:c>
      <x:c r="J41" s="29" t="n">
        <x:v>40</x:v>
      </x:c>
      <x:c r="K41" s="34" t="str">
        <x:v>https://www.toshiseibi1.metro.tokyo.lg.jp/bunyabetsu/kotsu_butsuryu/pdf/index_koutuu_01.xlsx</x:v>
      </x:c>
      <x:c r="L41" s="32" t="n">
        <x:v>46256</x:v>
      </x:c>
    </x:row>
    <x:row r="42" ht="40" customHeight="1">
      <x:c r="A42" s="29" t="str">
        <x:v>R039</x:v>
      </x:c>
      <x:c r="B42" s="29" t="str">
        <x:v>S014</x:v>
      </x:c>
      <x:c r="C42" s="29" t="str">
        <x:v>23区</x:v>
      </x:c>
      <x:c r="D42" s="29" t="str">
        <x:v>杉並区</x:v>
      </x:c>
      <x:c r="E42" s="29" t="str">
        <x:v>すぎ丸</x:v>
      </x:c>
      <x:c r="F42" s="29" t="str">
        <x:v>かえで路線</x:v>
      </x:c>
      <x:c r="G42" s="29" t="str">
        <x:v>100円 未就学児無料</x:v>
      </x:c>
      <x:c r="H42" s="29" t="str">
        <x:v>関東バス</x:v>
      </x:c>
      <x:c r="I42" s="29" t="str">
        <x:v>対象</x:v>
      </x:c>
      <x:c r="J42" s="29" t="n">
        <x:v>41</x:v>
      </x:c>
      <x:c r="K42" s="34" t="str">
        <x:v>https://www.toshiseibi1.metro.tokyo.lg.jp/bunyabetsu/kotsu_butsuryu/pdf/index_koutuu_01.xlsx</x:v>
      </x:c>
      <x:c r="L42" s="32" t="n">
        <x:v>46256</x:v>
      </x:c>
    </x:row>
    <x:row r="43" ht="40" customHeight="1">
      <x:c r="A43" s="29" t="str">
        <x:v>R040</x:v>
      </x:c>
      <x:c r="B43" s="29" t="str">
        <x:v>S015</x:v>
      </x:c>
      <x:c r="C43" s="29" t="str">
        <x:v>23区</x:v>
      </x:c>
      <x:c r="D43" s="29" t="str">
        <x:v>豊島区</x:v>
      </x:c>
      <x:c r="E43" s="29" t="str">
        <x:v>地域公共バス</x:v>
      </x:c>
      <x:c r="F43" s="29" t="str">
        <x:v>池07系統</x:v>
      </x:c>
      <x:c r="G43" s="29" t="str">
        <x:v>大人220円 小人110円</x:v>
      </x:c>
      <x:c r="H43" s="29" t="str">
        <x:v>国際興業</x:v>
      </x:c>
      <x:c r="I43" s="29" t="str">
        <x:v>対象</x:v>
      </x:c>
      <x:c r="J43" s="29" t="n">
        <x:v>42</x:v>
      </x:c>
      <x:c r="K43" s="34" t="str">
        <x:v>https://www.toshiseibi1.metro.tokyo.lg.jp/bunyabetsu/kotsu_butsuryu/pdf/index_koutuu_01.xlsx</x:v>
      </x:c>
      <x:c r="L43" s="32" t="n">
        <x:v>46256</x:v>
      </x:c>
    </x:row>
    <x:row r="44" ht="40" customHeight="1">
      <x:c r="A44" s="29" t="str">
        <x:v>R041</x:v>
      </x:c>
      <x:c r="B44" s="29" t="str">
        <x:v>S016</x:v>
      </x:c>
      <x:c r="C44" s="29" t="str">
        <x:v>23区</x:v>
      </x:c>
      <x:c r="D44" s="29" t="str">
        <x:v>豊島区</x:v>
      </x:c>
      <x:c r="E44" s="29" t="str">
        <x:v>IKEBUS</x:v>
      </x:c>
      <x:c r="F44" s="29" t="str">
        <x:v>Aル－ト Bル－ト</x:v>
      </x:c>
      <x:c r="G44" s="29" t="str">
        <x:v>200円（大人）※令和6年2月1日～</x:v>
      </x:c>
      <x:c r="H44" s="29" t="str">
        <x:v>WILLER EXPRESS</x:v>
      </x:c>
      <x:c r="I44" s="29" t="str">
        <x:v>対象</x:v>
      </x:c>
      <x:c r="J44" s="29" t="n">
        <x:v>43</x:v>
      </x:c>
      <x:c r="K44" s="34" t="str">
        <x:v>https://www.toshiseibi1.metro.tokyo.lg.jp/bunyabetsu/kotsu_butsuryu/pdf/index_koutuu_01.xlsx</x:v>
      </x:c>
      <x:c r="L44" s="32" t="n">
        <x:v>46256</x:v>
      </x:c>
    </x:row>
    <x:row r="45" ht="40" customHeight="1">
      <x:c r="A45" s="29" t="str">
        <x:v>R042</x:v>
      </x:c>
      <x:c r="B45" s="29" t="str">
        <x:v>S017</x:v>
      </x:c>
      <x:c r="C45" s="29" t="str">
        <x:v>23区</x:v>
      </x:c>
      <x:c r="D45" s="29" t="str">
        <x:v>豊島区</x:v>
      </x:c>
      <x:c r="E45" s="29" t="str">
        <x:v>mobi＜AIオンデマンド交通＞（実証運行）</x:v>
      </x:c>
      <x:c r="F45" s="29" t="str">
        <x:v>大塚駅周辺地区</x:v>
      </x:c>
      <x:c r="G45" s="29" t="str">
        <x:v>1回乗車400円 30日乗り放題6,000円</x:v>
      </x:c>
      <x:c r="H45" s="29" t="str">
        <x:v>Community Mobility エコリムジン東京</x:v>
      </x:c>
      <x:c r="I45" s="29" t="str">
        <x:v>対象</x:v>
      </x:c>
      <x:c r="J45" s="29" t="n">
        <x:v>44</x:v>
      </x:c>
      <x:c r="K45" s="34" t="str">
        <x:v>https://www.toshiseibi1.metro.tokyo.lg.jp/bunyabetsu/kotsu_butsuryu/pdf/index_koutuu_01.xlsx</x:v>
      </x:c>
      <x:c r="L45" s="32" t="n">
        <x:v>46256</x:v>
      </x:c>
    </x:row>
    <x:row r="46" ht="40" customHeight="1">
      <x:c r="A46" s="29" t="str">
        <x:v>R043</x:v>
      </x:c>
      <x:c r="B46" s="29" t="str">
        <x:v>S018</x:v>
      </x:c>
      <x:c r="C46" s="29" t="str">
        <x:v>23区</x:v>
      </x:c>
      <x:c r="D46" s="29" t="str">
        <x:v>北区</x:v>
      </x:c>
      <x:c r="E46" s="29" t="str">
        <x:v>Ｋバス</x:v>
      </x:c>
      <x:c r="F46" s="29" t="str">
        <x:v>王子・駒込ルート</x:v>
      </x:c>
      <x:c r="G46" s="29" t="str">
        <x:v>100円</x:v>
      </x:c>
      <x:c r="H46" s="29" t="str">
        <x:v>日立自動車交通</x:v>
      </x:c>
      <x:c r="I46" s="29" t="str">
        <x:v>対象</x:v>
      </x:c>
      <x:c r="J46" s="29" t="n">
        <x:v>45</x:v>
      </x:c>
      <x:c r="K46" s="34" t="str">
        <x:v>https://www.toshiseibi1.metro.tokyo.lg.jp/bunyabetsu/kotsu_butsuryu/pdf/index_koutuu_01.xlsx</x:v>
      </x:c>
      <x:c r="L46" s="32" t="n">
        <x:v>46256</x:v>
      </x:c>
    </x:row>
    <x:row r="47" ht="40" customHeight="1">
      <x:c r="A47" s="29" t="str">
        <x:v>R044</x:v>
      </x:c>
      <x:c r="B47" s="29" t="str">
        <x:v>S018</x:v>
      </x:c>
      <x:c r="C47" s="29" t="str">
        <x:v>23区</x:v>
      </x:c>
      <x:c r="D47" s="29" t="str">
        <x:v>北区</x:v>
      </x:c>
      <x:c r="E47" s="29" t="str">
        <x:v>Ｋバス</x:v>
      </x:c>
      <x:c r="F47" s="29" t="str">
        <x:v>田端循環ルート</x:v>
      </x:c>
      <x:c r="G47" s="29" t="str">
        <x:v>100円</x:v>
      </x:c>
      <x:c r="H47" s="29" t="str">
        <x:v>日立自動車交通</x:v>
      </x:c>
      <x:c r="I47" s="29" t="str">
        <x:v>対象</x:v>
      </x:c>
      <x:c r="J47" s="29" t="n">
        <x:v>46</x:v>
      </x:c>
      <x:c r="K47" s="34" t="str">
        <x:v>https://www.toshiseibi1.metro.tokyo.lg.jp/bunyabetsu/kotsu_butsuryu/pdf/index_koutuu_01.xlsx</x:v>
      </x:c>
      <x:c r="L47" s="32" t="n">
        <x:v>46256</x:v>
      </x:c>
    </x:row>
    <x:row r="48" ht="40" customHeight="1">
      <x:c r="A48" s="29" t="str">
        <x:v>R045</x:v>
      </x:c>
      <x:c r="B48" s="29" t="str">
        <x:v>S019</x:v>
      </x:c>
      <x:c r="C48" s="29" t="str">
        <x:v>23区</x:v>
      </x:c>
      <x:c r="D48" s="29" t="str">
        <x:v>荒川区</x:v>
      </x:c>
      <x:c r="E48" s="29" t="str">
        <x:v>さくら</x:v>
      </x:c>
      <x:c r="F48" s="29" t="str">
        <x:v>南千01系統</x:v>
      </x:c>
      <x:c r="G48" s="29" t="str">
        <x:v>現金：大人180円 小児90円 IC：大人178円 小児89円</x:v>
      </x:c>
      <x:c r="H48" s="29" t="str">
        <x:v>京成バス</x:v>
      </x:c>
      <x:c r="I48" s="29" t="str">
        <x:v>対象</x:v>
      </x:c>
      <x:c r="J48" s="29" t="n">
        <x:v>47</x:v>
      </x:c>
      <x:c r="K48" s="34" t="str">
        <x:v>https://www.toshiseibi1.metro.tokyo.lg.jp/bunyabetsu/kotsu_butsuryu/pdf/index_koutuu_01.xlsx</x:v>
      </x:c>
      <x:c r="L48" s="32" t="n">
        <x:v>46256</x:v>
      </x:c>
    </x:row>
    <x:row r="49" ht="40" customHeight="1">
      <x:c r="A49" s="29" t="str">
        <x:v>R046</x:v>
      </x:c>
      <x:c r="B49" s="29" t="str">
        <x:v>S019</x:v>
      </x:c>
      <x:c r="C49" s="29" t="str">
        <x:v>23区</x:v>
      </x:c>
      <x:c r="D49" s="29" t="str">
        <x:v>荒川区</x:v>
      </x:c>
      <x:c r="E49" s="29" t="str">
        <x:v>さくら</x:v>
      </x:c>
      <x:c r="F49" s="29" t="str">
        <x:v>南千02系統</x:v>
      </x:c>
      <x:c r="G49" s="29" t="str">
        <x:v>現金：大人180円 小児90円 IC：大人178円 小児89円</x:v>
      </x:c>
      <x:c r="H49" s="29" t="str">
        <x:v>京成バス</x:v>
      </x:c>
      <x:c r="I49" s="29" t="str">
        <x:v>対象</x:v>
      </x:c>
      <x:c r="J49" s="29" t="n">
        <x:v>48</x:v>
      </x:c>
      <x:c r="K49" s="34" t="str">
        <x:v>https://www.toshiseibi1.metro.tokyo.lg.jp/bunyabetsu/kotsu_butsuryu/pdf/index_koutuu_01.xlsx</x:v>
      </x:c>
      <x:c r="L49" s="32" t="n">
        <x:v>46256</x:v>
      </x:c>
    </x:row>
    <x:row r="50" ht="40" customHeight="1">
      <x:c r="A50" s="29" t="str">
        <x:v>R047</x:v>
      </x:c>
      <x:c r="B50" s="29" t="str">
        <x:v>S019</x:v>
      </x:c>
      <x:c r="C50" s="29" t="str">
        <x:v>23区</x:v>
      </x:c>
      <x:c r="D50" s="29" t="str">
        <x:v>荒川区</x:v>
      </x:c>
      <x:c r="E50" s="29" t="str">
        <x:v>さくら</x:v>
      </x:c>
      <x:c r="F50" s="29" t="str">
        <x:v>南千02-1系統（土休日のみ）</x:v>
      </x:c>
      <x:c r="G50" s="29" t="str">
        <x:v>現金：大人180円 小児90円 IC：大人178円 小児89円</x:v>
      </x:c>
      <x:c r="H50" s="29" t="str">
        <x:v>京成バス</x:v>
      </x:c>
      <x:c r="I50" s="29" t="str">
        <x:v>対象</x:v>
      </x:c>
      <x:c r="J50" s="29" t="n">
        <x:v>49</x:v>
      </x:c>
      <x:c r="K50" s="34" t="str">
        <x:v>https://www.toshiseibi1.metro.tokyo.lg.jp/bunyabetsu/kotsu_butsuryu/pdf/index_koutuu_01.xlsx</x:v>
      </x:c>
      <x:c r="L50" s="32" t="n">
        <x:v>46256</x:v>
      </x:c>
    </x:row>
    <x:row r="51" ht="40" customHeight="1">
      <x:c r="A51" s="29" t="str">
        <x:v>R048</x:v>
      </x:c>
      <x:c r="B51" s="29" t="str">
        <x:v>S020</x:v>
      </x:c>
      <x:c r="C51" s="29" t="str">
        <x:v>23区</x:v>
      </x:c>
      <x:c r="D51" s="29" t="str">
        <x:v>荒川区</x:v>
      </x:c>
      <x:c r="E51" s="29" t="str">
        <x:v>汐入さくら</x:v>
      </x:c>
      <x:c r="F51" s="29" t="str">
        <x:v>南千03系統</x:v>
      </x:c>
      <x:c r="G51" s="29" t="str">
        <x:v>現金：大人180円 小児90円 IC：大人178円 小児89円</x:v>
      </x:c>
      <x:c r="H51" s="29" t="str">
        <x:v>京成バス</x:v>
      </x:c>
      <x:c r="I51" s="29" t="str">
        <x:v>対象</x:v>
      </x:c>
      <x:c r="J51" s="29" t="n">
        <x:v>50</x:v>
      </x:c>
      <x:c r="K51" s="34" t="str">
        <x:v>https://www.toshiseibi1.metro.tokyo.lg.jp/bunyabetsu/kotsu_butsuryu/pdf/index_koutuu_01.xlsx</x:v>
      </x:c>
      <x:c r="L51" s="32" t="n">
        <x:v>46256</x:v>
      </x:c>
    </x:row>
    <x:row r="52" ht="40" customHeight="1">
      <x:c r="A52" s="29" t="str">
        <x:v>R049</x:v>
      </x:c>
      <x:c r="B52" s="29" t="str">
        <x:v>S021</x:v>
      </x:c>
      <x:c r="C52" s="29" t="str">
        <x:v>23区</x:v>
      </x:c>
      <x:c r="D52" s="29" t="str">
        <x:v>荒川区</x:v>
      </x:c>
      <x:c r="E52" s="29" t="str">
        <x:v>旧「町屋さくら」ルートにおけるデマンド交通実証運行（令和6年3月末まで）</x:v>
      </x:c>
      <x:c r="F52" s="29" t="str">
        <x:v>旧「町屋さくら」ルート</x:v>
      </x:c>
      <x:c r="G52" s="29" t="str">
        <x:v>大人300円 小人（未就学児除く）運賃150 円</x:v>
      </x:c>
      <x:c r="H52" s="29" t="str">
        <x:v>三和交通 大日本自動車交通 東京合同自動車</x:v>
      </x:c>
      <x:c r="I52" s="29" t="str">
        <x:v>終了</x:v>
      </x:c>
      <x:c r="J52" s="29" t="n">
        <x:v>51</x:v>
      </x:c>
      <x:c r="K52" s="34" t="str">
        <x:v>https://www.toshiseibi1.metro.tokyo.lg.jp/bunyabetsu/kotsu_butsuryu/pdf/index_koutuu_01.xlsx</x:v>
      </x:c>
      <x:c r="L52" s="32" t="n">
        <x:v>46256</x:v>
      </x:c>
    </x:row>
    <x:row r="53" ht="40" customHeight="1">
      <x:c r="A53" s="29" t="str">
        <x:v>R050</x:v>
      </x:c>
      <x:c r="B53" s="29" t="str">
        <x:v>S022</x:v>
      </x:c>
      <x:c r="C53" s="29" t="str">
        <x:v>23区</x:v>
      </x:c>
      <x:c r="D53" s="29" t="str">
        <x:v>板橋区</x:v>
      </x:c>
      <x:c r="E53" s="29" t="str">
        <x:v>板橋区コミュニティバス りんりんGO</x:v>
      </x:c>
      <x:c r="F53" s="29" t="str">
        <x:v>板01系統 板橋市場～新高島平駅～下赤塚駅～新高島平駅～板橋市場 （循環）</x:v>
      </x:c>
      <x:c r="G53" s="29" t="str">
        <x:v>大人 230円 小人 120円 (ICカードの場合、大人 230円・小人115円）</x:v>
      </x:c>
      <x:c r="H53" s="29" t="str">
        <x:v>国際興業</x:v>
      </x:c>
      <x:c r="I53" s="29" t="str">
        <x:v>対象</x:v>
      </x:c>
      <x:c r="J53" s="29" t="n">
        <x:v>52</x:v>
      </x:c>
      <x:c r="K53" s="34" t="str">
        <x:v>https://www.toshiseibi1.metro.tokyo.lg.jp/bunyabetsu/kotsu_butsuryu/pdf/index_koutuu_01.xlsx</x:v>
      </x:c>
      <x:c r="L53" s="32" t="n">
        <x:v>46256</x:v>
      </x:c>
    </x:row>
    <x:row r="54" ht="40" customHeight="1">
      <x:c r="A54" s="29" t="str">
        <x:v>R051</x:v>
      </x:c>
      <x:c r="B54" s="29" t="str">
        <x:v>S023</x:v>
      </x:c>
      <x:c r="C54" s="29" t="str">
        <x:v>23区</x:v>
      </x:c>
      <x:c r="D54" s="29" t="str">
        <x:v>練馬区</x:v>
      </x:c>
      <x:c r="E54" s="29" t="str">
        <x:v>みどりバス</x:v>
      </x:c>
      <x:c r="F54" s="29" t="str">
        <x:v>保谷ルート</x:v>
      </x:c>
      <x:c r="G54" s="29" t="str">
        <x:v>大人 220円 小人 110円 現金・IC共通</x:v>
      </x:c>
      <x:c r="H54" s="29" t="str">
        <x:v>西武バス</x:v>
      </x:c>
      <x:c r="I54" s="29" t="str">
        <x:v>対象</x:v>
      </x:c>
      <x:c r="J54" s="29" t="n">
        <x:v>53</x:v>
      </x:c>
      <x:c r="K54" s="34" t="str">
        <x:v>https://www.toshiseibi1.metro.tokyo.lg.jp/bunyabetsu/kotsu_butsuryu/pdf/index_koutuu_01.xlsx</x:v>
      </x:c>
      <x:c r="L54" s="32" t="n">
        <x:v>46256</x:v>
      </x:c>
    </x:row>
    <x:row r="55" ht="40" customHeight="1">
      <x:c r="A55" s="29" t="str">
        <x:v>R052</x:v>
      </x:c>
      <x:c r="B55" s="29" t="str">
        <x:v>S023</x:v>
      </x:c>
      <x:c r="C55" s="29" t="str">
        <x:v>23区</x:v>
      </x:c>
      <x:c r="D55" s="29" t="str">
        <x:v>練馬区</x:v>
      </x:c>
      <x:c r="E55" s="29" t="str">
        <x:v>みどりバス</x:v>
      </x:c>
      <x:c r="F55" s="29" t="str">
        <x:v>北町ルート</x:v>
      </x:c>
      <x:c r="G55" s="29" t="str">
        <x:v>大人 220円 小人 110円 現金・IC共通</x:v>
      </x:c>
      <x:c r="H55" s="29" t="str">
        <x:v>国際興業</x:v>
      </x:c>
      <x:c r="I55" s="29" t="str">
        <x:v>対象</x:v>
      </x:c>
      <x:c r="J55" s="29" t="n">
        <x:v>54</x:v>
      </x:c>
      <x:c r="K55" s="34" t="str">
        <x:v>https://www.toshiseibi1.metro.tokyo.lg.jp/bunyabetsu/kotsu_butsuryu/pdf/index_koutuu_01.xlsx</x:v>
      </x:c>
      <x:c r="L55" s="32" t="n">
        <x:v>46256</x:v>
      </x:c>
    </x:row>
    <x:row r="56" ht="40" customHeight="1">
      <x:c r="A56" s="29" t="str">
        <x:v>R053</x:v>
      </x:c>
      <x:c r="B56" s="29" t="str">
        <x:v>S023</x:v>
      </x:c>
      <x:c r="C56" s="29" t="str">
        <x:v>23区</x:v>
      </x:c>
      <x:c r="D56" s="29" t="str">
        <x:v>練馬区</x:v>
      </x:c>
      <x:c r="E56" s="29" t="str">
        <x:v>みどりバス</x:v>
      </x:c>
      <x:c r="F56" s="29" t="str">
        <x:v>関町ルート</x:v>
      </x:c>
      <x:c r="G56" s="29" t="str">
        <x:v>大人 220円 小人 110円 現金・IC共通</x:v>
      </x:c>
      <x:c r="H56" s="29" t="str">
        <x:v>西武バス</x:v>
      </x:c>
      <x:c r="I56" s="29" t="str">
        <x:v>対象</x:v>
      </x:c>
      <x:c r="J56" s="29" t="n">
        <x:v>55</x:v>
      </x:c>
      <x:c r="K56" s="34" t="str">
        <x:v>https://www.toshiseibi1.metro.tokyo.lg.jp/bunyabetsu/kotsu_butsuryu/pdf/index_koutuu_01.xlsx</x:v>
      </x:c>
      <x:c r="L56" s="32" t="n">
        <x:v>46256</x:v>
      </x:c>
    </x:row>
    <x:row r="57" ht="40" customHeight="1">
      <x:c r="A57" s="29" t="str">
        <x:v>R054</x:v>
      </x:c>
      <x:c r="B57" s="29" t="str">
        <x:v>S023</x:v>
      </x:c>
      <x:c r="C57" s="29" t="str">
        <x:v>23区</x:v>
      </x:c>
      <x:c r="D57" s="29" t="str">
        <x:v>練馬区</x:v>
      </x:c>
      <x:c r="E57" s="29" t="str">
        <x:v>みどりバス</x:v>
      </x:c>
      <x:c r="F57" s="29" t="str">
        <x:v>氷川台ルート</x:v>
      </x:c>
      <x:c r="G57" s="29" t="str">
        <x:v>大人 220円 小人 110円 現金・IC共通</x:v>
      </x:c>
      <x:c r="H57" s="29" t="str">
        <x:v>国際興業</x:v>
      </x:c>
      <x:c r="I57" s="29" t="str">
        <x:v>対象</x:v>
      </x:c>
      <x:c r="J57" s="29" t="n">
        <x:v>56</x:v>
      </x:c>
      <x:c r="K57" s="34" t="str">
        <x:v>https://www.toshiseibi1.metro.tokyo.lg.jp/bunyabetsu/kotsu_butsuryu/pdf/index_koutuu_01.xlsx</x:v>
      </x:c>
      <x:c r="L57" s="32" t="n">
        <x:v>46256</x:v>
      </x:c>
    </x:row>
    <x:row r="58" ht="40" customHeight="1">
      <x:c r="A58" s="29" t="str">
        <x:v>R055</x:v>
      </x:c>
      <x:c r="B58" s="29" t="str">
        <x:v>S023</x:v>
      </x:c>
      <x:c r="C58" s="29" t="str">
        <x:v>23区</x:v>
      </x:c>
      <x:c r="D58" s="29" t="str">
        <x:v>練馬区</x:v>
      </x:c>
      <x:c r="E58" s="29" t="str">
        <x:v>みどりバス</x:v>
      </x:c>
      <x:c r="F58" s="29" t="str">
        <x:v>大泉ルート</x:v>
      </x:c>
      <x:c r="G58" s="29" t="str">
        <x:v>大人 220円 小人 110円 現金・IC共通</x:v>
      </x:c>
      <x:c r="H58" s="29" t="str">
        <x:v>西武バス</x:v>
      </x:c>
      <x:c r="I58" s="29" t="str">
        <x:v>対象</x:v>
      </x:c>
      <x:c r="J58" s="29" t="n">
        <x:v>57</x:v>
      </x:c>
      <x:c r="K58" s="34" t="str">
        <x:v>https://www.toshiseibi1.metro.tokyo.lg.jp/bunyabetsu/kotsu_butsuryu/pdf/index_koutuu_01.xlsx</x:v>
      </x:c>
      <x:c r="L58" s="32" t="n">
        <x:v>46256</x:v>
      </x:c>
    </x:row>
    <x:row r="59" ht="40" customHeight="1">
      <x:c r="A59" s="29" t="str">
        <x:v>R056</x:v>
      </x:c>
      <x:c r="B59" s="29" t="str">
        <x:v>S023</x:v>
      </x:c>
      <x:c r="C59" s="29" t="str">
        <x:v>23区</x:v>
      </x:c>
      <x:c r="D59" s="29" t="str">
        <x:v>練馬区</x:v>
      </x:c>
      <x:c r="E59" s="29" t="str">
        <x:v>みどりバス</x:v>
      </x:c>
      <x:c r="F59" s="29" t="str">
        <x:v>南大泉ルート</x:v>
      </x:c>
      <x:c r="G59" s="29" t="str">
        <x:v>大人 220円 小人 110円 現金・IC共通</x:v>
      </x:c>
      <x:c r="H59" s="29" t="str">
        <x:v>西武バス</x:v>
      </x:c>
      <x:c r="I59" s="29" t="str">
        <x:v>対象</x:v>
      </x:c>
      <x:c r="J59" s="29" t="n">
        <x:v>58</x:v>
      </x:c>
      <x:c r="K59" s="34" t="str">
        <x:v>https://www.toshiseibi1.metro.tokyo.lg.jp/bunyabetsu/kotsu_butsuryu/pdf/index_koutuu_01.xlsx</x:v>
      </x:c>
      <x:c r="L59" s="32" t="n">
        <x:v>46256</x:v>
      </x:c>
    </x:row>
    <x:row r="60" ht="40" customHeight="1">
      <x:c r="A60" s="29" t="str">
        <x:v>R057</x:v>
      </x:c>
      <x:c r="B60" s="29" t="str">
        <x:v>S024</x:v>
      </x:c>
      <x:c r="C60" s="29" t="str">
        <x:v>23区</x:v>
      </x:c>
      <x:c r="D60" s="29" t="str">
        <x:v>足立区</x:v>
      </x:c>
      <x:c r="E60" s="29" t="str">
        <x:v>はるかぜ</x:v>
      </x:c>
      <x:c r="F60" s="29" t="str">
        <x:v>１号（西新井駅東口～綾瀬小学校東）</x:v>
      </x:c>
      <x:c r="G60" s="29" t="str">
        <x:v>210円</x:v>
      </x:c>
      <x:c r="H60" s="29" t="str">
        <x:v>日立自動車交通</x:v>
      </x:c>
      <x:c r="I60" s="29" t="str">
        <x:v>対象</x:v>
      </x:c>
      <x:c r="J60" s="29" t="n">
        <x:v>59</x:v>
      </x:c>
      <x:c r="K60" s="34" t="str">
        <x:v>https://www.toshiseibi1.metro.tokyo.lg.jp/bunyabetsu/kotsu_butsuryu/pdf/index_koutuu_01.xlsx</x:v>
      </x:c>
      <x:c r="L60" s="32" t="n">
        <x:v>46256</x:v>
      </x:c>
    </x:row>
    <x:row r="61" ht="40" customHeight="1">
      <x:c r="A61" s="29" t="str">
        <x:v>R058</x:v>
      </x:c>
      <x:c r="B61" s="29" t="str">
        <x:v>S024</x:v>
      </x:c>
      <x:c r="C61" s="29" t="str">
        <x:v>23区</x:v>
      </x:c>
      <x:c r="D61" s="29" t="str">
        <x:v>足立区</x:v>
      </x:c>
      <x:c r="E61" s="29" t="str">
        <x:v>はるかぜ</x:v>
      </x:c>
      <x:c r="F61" s="29" t="str">
        <x:v>２号（綾瀬駅～八潮駅南口）</x:v>
      </x:c>
      <x:c r="G61" s="29" t="str">
        <x:v>230円</x:v>
      </x:c>
      <x:c r="H61" s="29" t="str">
        <x:v>朝日自動車</x:v>
      </x:c>
      <x:c r="I61" s="29" t="str">
        <x:v>対象</x:v>
      </x:c>
      <x:c r="J61" s="29" t="n">
        <x:v>60</x:v>
      </x:c>
      <x:c r="K61" s="34" t="str">
        <x:v>https://www.toshiseibi1.metro.tokyo.lg.jp/bunyabetsu/kotsu_butsuryu/pdf/index_koutuu_01.xlsx</x:v>
      </x:c>
      <x:c r="L61" s="32" t="n">
        <x:v>46256</x:v>
      </x:c>
    </x:row>
    <x:row r="62" ht="40" customHeight="1">
      <x:c r="A62" s="29" t="str">
        <x:v>R059</x:v>
      </x:c>
      <x:c r="B62" s="29" t="str">
        <x:v>S024</x:v>
      </x:c>
      <x:c r="C62" s="29" t="str">
        <x:v>23区</x:v>
      </x:c>
      <x:c r="D62" s="29" t="str">
        <x:v>足立区</x:v>
      </x:c>
      <x:c r="E62" s="29" t="str">
        <x:v>はるかぜ</x:v>
      </x:c>
      <x:c r="F62" s="29" t="str">
        <x:v>３号（西新井駅～見沼代親水公園駅） ※R6.3.31までの運行</x:v>
      </x:c>
      <x:c r="G62" s="29" t="str">
        <x:v>230円</x:v>
      </x:c>
      <x:c r="H62" s="29" t="str">
        <x:v>国際興業</x:v>
      </x:c>
      <x:c r="I62" s="29" t="str">
        <x:v>対象</x:v>
      </x:c>
      <x:c r="J62" s="29" t="n">
        <x:v>61</x:v>
      </x:c>
      <x:c r="K62" s="34" t="str">
        <x:v>https://www.toshiseibi1.metro.tokyo.lg.jp/bunyabetsu/kotsu_butsuryu/pdf/index_koutuu_01.xlsx</x:v>
      </x:c>
      <x:c r="L62" s="32" t="n">
        <x:v>46256</x:v>
      </x:c>
    </x:row>
    <x:row r="63" ht="40" customHeight="1">
      <x:c r="A63" s="29" t="str">
        <x:v>R060</x:v>
      </x:c>
      <x:c r="B63" s="29" t="str">
        <x:v>S024</x:v>
      </x:c>
      <x:c r="C63" s="29" t="str">
        <x:v>23区</x:v>
      </x:c>
      <x:c r="D63" s="29" t="str">
        <x:v>足立区</x:v>
      </x:c>
      <x:c r="E63" s="29" t="str">
        <x:v>はるかぜ</x:v>
      </x:c>
      <x:c r="F63" s="29" t="str">
        <x:v>４号（足立区役所～鹿浜都市農業公園）</x:v>
      </x:c>
      <x:c r="G63" s="29" t="str">
        <x:v>230円</x:v>
      </x:c>
      <x:c r="H63" s="29" t="str">
        <x:v>東武バスセントラル</x:v>
      </x:c>
      <x:c r="I63" s="29" t="str">
        <x:v>対象</x:v>
      </x:c>
      <x:c r="J63" s="29" t="n">
        <x:v>62</x:v>
      </x:c>
      <x:c r="K63" s="34" t="str">
        <x:v>https://www.toshiseibi1.metro.tokyo.lg.jp/bunyabetsu/kotsu_butsuryu/pdf/index_koutuu_01.xlsx</x:v>
      </x:c>
      <x:c r="L63" s="32" t="n">
        <x:v>46256</x:v>
      </x:c>
    </x:row>
    <x:row r="64" ht="40" customHeight="1">
      <x:c r="A64" s="29" t="str">
        <x:v>R061</x:v>
      </x:c>
      <x:c r="B64" s="29" t="str">
        <x:v>S024</x:v>
      </x:c>
      <x:c r="C64" s="29" t="str">
        <x:v>23区</x:v>
      </x:c>
      <x:c r="D64" s="29" t="str">
        <x:v>足立区</x:v>
      </x:c>
      <x:c r="E64" s="29" t="str">
        <x:v>はるかぜ</x:v>
      </x:c>
      <x:c r="F64" s="29" t="str">
        <x:v>５号（北千住駅西側地域循環）</x:v>
      </x:c>
      <x:c r="G64" s="29" t="str">
        <x:v>210円</x:v>
      </x:c>
      <x:c r="H64" s="29" t="str">
        <x:v>新日本観光自動車</x:v>
      </x:c>
      <x:c r="I64" s="29" t="str">
        <x:v>対象</x:v>
      </x:c>
      <x:c r="J64" s="29" t="n">
        <x:v>63</x:v>
      </x:c>
      <x:c r="K64" s="34" t="str">
        <x:v>https://www.toshiseibi1.metro.tokyo.lg.jp/bunyabetsu/kotsu_butsuryu/pdf/index_koutuu_01.xlsx</x:v>
      </x:c>
      <x:c r="L64" s="32" t="n">
        <x:v>46256</x:v>
      </x:c>
    </x:row>
    <x:row r="65" ht="40" customHeight="1">
      <x:c r="A65" s="29" t="str">
        <x:v>R062</x:v>
      </x:c>
      <x:c r="B65" s="29" t="str">
        <x:v>S024</x:v>
      </x:c>
      <x:c r="C65" s="29" t="str">
        <x:v>23区</x:v>
      </x:c>
      <x:c r="D65" s="29" t="str">
        <x:v>足立区</x:v>
      </x:c>
      <x:c r="E65" s="29" t="str">
        <x:v>はるかぜ</x:v>
      </x:c>
      <x:c r="F65" s="29" t="str">
        <x:v>６号（北千住駅西口～鹿浜五丁目団地）</x:v>
      </x:c>
      <x:c r="G65" s="29" t="str">
        <x:v>210円</x:v>
      </x:c>
      <x:c r="H65" s="29" t="str">
        <x:v>新日本観光自動車</x:v>
      </x:c>
      <x:c r="I65" s="29" t="str">
        <x:v>対象</x:v>
      </x:c>
      <x:c r="J65" s="29" t="n">
        <x:v>64</x:v>
      </x:c>
      <x:c r="K65" s="34" t="str">
        <x:v>https://www.toshiseibi1.metro.tokyo.lg.jp/bunyabetsu/kotsu_butsuryu/pdf/index_koutuu_01.xlsx</x:v>
      </x:c>
      <x:c r="L65" s="32" t="n">
        <x:v>46256</x:v>
      </x:c>
    </x:row>
    <x:row r="66" ht="40" customHeight="1">
      <x:c r="A66" s="29" t="str">
        <x:v>R063</x:v>
      </x:c>
      <x:c r="B66" s="29" t="str">
        <x:v>S024</x:v>
      </x:c>
      <x:c r="C66" s="29" t="str">
        <x:v>23区</x:v>
      </x:c>
      <x:c r="D66" s="29" t="str">
        <x:v>足立区</x:v>
      </x:c>
      <x:c r="E66" s="29" t="str">
        <x:v>はるかぜ</x:v>
      </x:c>
      <x:c r="F66" s="29" t="str">
        <x:v>７号（西新井駅東口～八潮駅北口） ※R6..3.23～運行区間変更（「西新井駅東口～六ツ木都住」）</x:v>
      </x:c>
      <x:c r="G66" s="29" t="str">
        <x:v>230円</x:v>
      </x:c>
      <x:c r="H66" s="29" t="str">
        <x:v>東武バスセントラル</x:v>
      </x:c>
      <x:c r="I66" s="29" t="str">
        <x:v>対象</x:v>
      </x:c>
      <x:c r="J66" s="29" t="n">
        <x:v>65</x:v>
      </x:c>
      <x:c r="K66" s="34" t="str">
        <x:v>https://www.toshiseibi1.metro.tokyo.lg.jp/bunyabetsu/kotsu_butsuryu/pdf/index_koutuu_01.xlsx</x:v>
      </x:c>
      <x:c r="L66" s="32" t="n">
        <x:v>46256</x:v>
      </x:c>
    </x:row>
    <x:row r="67" ht="40" customHeight="1">
      <x:c r="A67" s="29" t="str">
        <x:v>R064</x:v>
      </x:c>
      <x:c r="B67" s="29" t="str">
        <x:v>S024</x:v>
      </x:c>
      <x:c r="C67" s="29" t="str">
        <x:v>23区</x:v>
      </x:c>
      <x:c r="D67" s="29" t="str">
        <x:v>足立区</x:v>
      </x:c>
      <x:c r="E67" s="29" t="str">
        <x:v>はるかぜ</x:v>
      </x:c>
      <x:c r="F67" s="29" t="str">
        <x:v>８号（北千住駅西口～小台・宮城循環）</x:v>
      </x:c>
      <x:c r="G67" s="29" t="str">
        <x:v>210円</x:v>
      </x:c>
      <x:c r="H67" s="29" t="str">
        <x:v>新日本観光自動車</x:v>
      </x:c>
      <x:c r="I67" s="29" t="str">
        <x:v>対象</x:v>
      </x:c>
      <x:c r="J67" s="29" t="n">
        <x:v>66</x:v>
      </x:c>
      <x:c r="K67" s="34" t="str">
        <x:v>https://www.toshiseibi1.metro.tokyo.lg.jp/bunyabetsu/kotsu_butsuryu/pdf/index_koutuu_01.xlsx</x:v>
      </x:c>
      <x:c r="L67" s="32" t="n">
        <x:v>46256</x:v>
      </x:c>
    </x:row>
    <x:row r="68" ht="40" customHeight="1">
      <x:c r="A68" s="29" t="str">
        <x:v>R065</x:v>
      </x:c>
      <x:c r="B68" s="29" t="str">
        <x:v>S024</x:v>
      </x:c>
      <x:c r="C68" s="29" t="str">
        <x:v>23区</x:v>
      </x:c>
      <x:c r="D68" s="29" t="str">
        <x:v>足立区</x:v>
      </x:c>
      <x:c r="E68" s="29" t="str">
        <x:v>はるかぜ</x:v>
      </x:c>
      <x:c r="F68" s="29" t="str">
        <x:v>９号（青井駅～亀有駅南口）</x:v>
      </x:c>
      <x:c r="G68" s="29" t="str">
        <x:v>210円</x:v>
      </x:c>
      <x:c r="H68" s="29" t="str">
        <x:v>日立自動車交通</x:v>
      </x:c>
      <x:c r="I68" s="29" t="str">
        <x:v>対象</x:v>
      </x:c>
      <x:c r="J68" s="29" t="n">
        <x:v>67</x:v>
      </x:c>
      <x:c r="K68" s="34" t="str">
        <x:v>https://www.toshiseibi1.metro.tokyo.lg.jp/bunyabetsu/kotsu_butsuryu/pdf/index_koutuu_01.xlsx</x:v>
      </x:c>
      <x:c r="L68" s="32" t="n">
        <x:v>46256</x:v>
      </x:c>
    </x:row>
    <x:row r="69" ht="40" customHeight="1">
      <x:c r="A69" s="29" t="str">
        <x:v>R066</x:v>
      </x:c>
      <x:c r="B69" s="29" t="str">
        <x:v>S024</x:v>
      </x:c>
      <x:c r="C69" s="29" t="str">
        <x:v>23区</x:v>
      </x:c>
      <x:c r="D69" s="29" t="str">
        <x:v>足立区</x:v>
      </x:c>
      <x:c r="E69" s="29" t="str">
        <x:v>はるかぜ</x:v>
      </x:c>
      <x:c r="F69" s="29" t="str">
        <x:v>１０号（西新井駅西口～高野駅） ※R6.3.29までの運行</x:v>
      </x:c>
      <x:c r="G69" s="29" t="str">
        <x:v>210円</x:v>
      </x:c>
      <x:c r="H69" s="29" t="str">
        <x:v>日立自動車交通</x:v>
      </x:c>
      <x:c r="I69" s="29" t="str">
        <x:v>対象</x:v>
      </x:c>
      <x:c r="J69" s="29" t="n">
        <x:v>68</x:v>
      </x:c>
      <x:c r="K69" s="34" t="str">
        <x:v>https://www.toshiseibi1.metro.tokyo.lg.jp/bunyabetsu/kotsu_butsuryu/pdf/index_koutuu_01.xlsx</x:v>
      </x:c>
      <x:c r="L69" s="32" t="n">
        <x:v>46256</x:v>
      </x:c>
    </x:row>
    <x:row r="70" ht="40" customHeight="1">
      <x:c r="A70" s="29" t="str">
        <x:v>R067</x:v>
      </x:c>
      <x:c r="B70" s="29" t="str">
        <x:v>S024</x:v>
      </x:c>
      <x:c r="C70" s="29" t="str">
        <x:v>23区</x:v>
      </x:c>
      <x:c r="D70" s="29" t="str">
        <x:v>足立区</x:v>
      </x:c>
      <x:c r="E70" s="29" t="str">
        <x:v>はるかぜ</x:v>
      </x:c>
      <x:c r="F70" s="29" t="str">
        <x:v>１１号（北千住駅西口～堀之内・椿循環／北千住駅西口～博慈会記念総合病院） ※R6.4.1～運行区間変更（「北千住駅西口～堀之内・椿循環」のみ）</x:v>
      </x:c>
      <x:c r="G70" s="29" t="str">
        <x:v>210円</x:v>
      </x:c>
      <x:c r="H70" s="29" t="str">
        <x:v>新日本観光自動車</x:v>
      </x:c>
      <x:c r="I70" s="29" t="str">
        <x:v>対象</x:v>
      </x:c>
      <x:c r="J70" s="29" t="n">
        <x:v>69</x:v>
      </x:c>
      <x:c r="K70" s="34" t="str">
        <x:v>https://www.toshiseibi1.metro.tokyo.lg.jp/bunyabetsu/kotsu_butsuryu/pdf/index_koutuu_01.xlsx</x:v>
      </x:c>
      <x:c r="L70" s="32" t="n">
        <x:v>46256</x:v>
      </x:c>
    </x:row>
    <x:row r="71" ht="40" customHeight="1">
      <x:c r="A71" s="29" t="str">
        <x:v>R068</x:v>
      </x:c>
      <x:c r="B71" s="29" t="str">
        <x:v>S024</x:v>
      </x:c>
      <x:c r="C71" s="29" t="str">
        <x:v>23区</x:v>
      </x:c>
      <x:c r="D71" s="29" t="str">
        <x:v>足立区</x:v>
      </x:c>
      <x:c r="E71" s="29" t="str">
        <x:v>はるかぜ</x:v>
      </x:c>
      <x:c r="F71" s="29" t="str">
        <x:v>１２号（西新井駅東口～亀有駅南口）</x:v>
      </x:c>
      <x:c r="G71" s="29" t="str">
        <x:v>210円</x:v>
      </x:c>
      <x:c r="H71" s="29" t="str">
        <x:v>日立自動車交通</x:v>
      </x:c>
      <x:c r="I71" s="29" t="str">
        <x:v>対象</x:v>
      </x:c>
      <x:c r="J71" s="29" t="n">
        <x:v>70</x:v>
      </x:c>
      <x:c r="K71" s="34" t="str">
        <x:v>https://www.toshiseibi1.metro.tokyo.lg.jp/bunyabetsu/kotsu_butsuryu/pdf/index_koutuu_01.xlsx</x:v>
      </x:c>
      <x:c r="L71" s="32" t="n">
        <x:v>46256</x:v>
      </x:c>
    </x:row>
    <x:row r="72" ht="40" customHeight="1">
      <x:c r="A72" s="29" t="str">
        <x:v>R069</x:v>
      </x:c>
      <x:c r="B72" s="29" t="str">
        <x:v>S025</x:v>
      </x:c>
      <x:c r="C72" s="29" t="str">
        <x:v>23区</x:v>
      </x:c>
      <x:c r="D72" s="29" t="str">
        <x:v>足立区</x:v>
      </x:c>
      <x:c r="E72" s="29" t="str">
        <x:v>ブンブン号</x:v>
      </x:c>
      <x:c r="F72" s="29" t="str">
        <x:v>六町駅～花畑桑袋団地 ※R6.3.22までの運行</x:v>
      </x:c>
      <x:c r="G72" s="29" t="str">
        <x:v>220円</x:v>
      </x:c>
      <x:c r="H72" s="29" t="str">
        <x:v>東武バスセントラル</x:v>
      </x:c>
      <x:c r="I72" s="29" t="str">
        <x:v>対象</x:v>
      </x:c>
      <x:c r="J72" s="29" t="n">
        <x:v>71</x:v>
      </x:c>
      <x:c r="K72" s="34" t="str">
        <x:v>https://www.toshiseibi1.metro.tokyo.lg.jp/bunyabetsu/kotsu_butsuryu/pdf/index_koutuu_01.xlsx</x:v>
      </x:c>
      <x:c r="L72" s="32" t="n">
        <x:v>46256</x:v>
      </x:c>
    </x:row>
    <x:row r="73" ht="40" customHeight="1">
      <x:c r="A73" s="29" t="str">
        <x:v>R070</x:v>
      </x:c>
      <x:c r="B73" s="29" t="str">
        <x:v>S026</x:v>
      </x:c>
      <x:c r="C73" s="29" t="str">
        <x:v>23区</x:v>
      </x:c>
      <x:c r="D73" s="29" t="str">
        <x:v>葛飾区</x:v>
      </x:c>
      <x:c r="E73" s="29" t="str">
        <x:v>細田循環バス</x:v>
      </x:c>
      <x:c r="F73" s="29" t="str">
        <x:v>細02系統</x:v>
      </x:c>
      <x:c r="G73" s="29" t="str">
        <x:v>大人 220円 小人 110円</x:v>
      </x:c>
      <x:c r="H73" s="29" t="str">
        <x:v>京成バス 京成タウンバス</x:v>
      </x:c>
      <x:c r="I73" s="29" t="str">
        <x:v>対象</x:v>
      </x:c>
      <x:c r="J73" s="29" t="n">
        <x:v>72</x:v>
      </x:c>
      <x:c r="K73" s="34" t="str">
        <x:v>https://www.toshiseibi1.metro.tokyo.lg.jp/bunyabetsu/kotsu_butsuryu/pdf/index_koutuu_01.xlsx</x:v>
      </x:c>
      <x:c r="L73" s="32" t="n">
        <x:v>46256</x:v>
      </x:c>
    </x:row>
    <x:row r="74" ht="40" customHeight="1">
      <x:c r="A74" s="29" t="str">
        <x:v>R071</x:v>
      </x:c>
      <x:c r="B74" s="29" t="str">
        <x:v>S027</x:v>
      </x:c>
      <x:c r="C74" s="29" t="str">
        <x:v>23区</x:v>
      </x:c>
      <x:c r="D74" s="29" t="str">
        <x:v>葛飾区</x:v>
      </x:c>
      <x:c r="E74" s="29" t="str">
        <x:v>地域乗合タクシーさくら</x:v>
      </x:c>
      <x:c r="F74" s="29" t="str">
        <x:v>綾瀬駅～小菅地域循環</x:v>
      </x:c>
      <x:c r="G74" s="29" t="str">
        <x:v>大人 200円 小人 100円</x:v>
      </x:c>
      <x:c r="H74" s="29" t="str">
        <x:v>日立自動車交通</x:v>
      </x:c>
      <x:c r="I74" s="29" t="str">
        <x:v>対象</x:v>
      </x:c>
      <x:c r="J74" s="29" t="n">
        <x:v>73</x:v>
      </x:c>
      <x:c r="K74" s="34" t="str">
        <x:v>https://www.toshiseibi1.metro.tokyo.lg.jp/bunyabetsu/kotsu_butsuryu/pdf/index_koutuu_01.xlsx</x:v>
      </x:c>
      <x:c r="L74" s="32" t="n">
        <x:v>46256</x:v>
      </x:c>
    </x:row>
    <x:row r="75" ht="40" customHeight="1">
      <x:c r="A75" s="29" t="str">
        <x:v>R072</x:v>
      </x:c>
      <x:c r="B75" s="29" t="str">
        <x:v>S028</x:v>
      </x:c>
      <x:c r="C75" s="29" t="str">
        <x:v>多摩市部</x:v>
      </x:c>
      <x:c r="D75" s="29" t="str">
        <x:v>八王子市</x:v>
      </x:c>
      <x:c r="E75" s="29" t="str">
        <x:v>はちバス</x:v>
      </x:c>
      <x:c r="F75" s="29" t="str">
        <x:v>北部コース</x:v>
      </x:c>
      <x:c r="G75" s="29" t="str">
        <x:v>・100円、170円、200円（対距離運賃制） ・小児、障害者は半額 ・未就学児は無料</x:v>
      </x:c>
      <x:c r="H75" s="29" t="str">
        <x:v>西東京バス</x:v>
      </x:c>
      <x:c r="I75" s="29" t="str">
        <x:v>対象</x:v>
      </x:c>
      <x:c r="J75" s="29" t="n">
        <x:v>74</x:v>
      </x:c>
      <x:c r="K75" s="34" t="str">
        <x:v>https://www.toshiseibi1.metro.tokyo.lg.jp/bunyabetsu/kotsu_butsuryu/pdf/index_koutuu_01.xlsx</x:v>
      </x:c>
      <x:c r="L75" s="32" t="n">
        <x:v>46256</x:v>
      </x:c>
    </x:row>
    <x:row r="76" ht="40" customHeight="1">
      <x:c r="A76" s="29" t="str">
        <x:v>R073</x:v>
      </x:c>
      <x:c r="B76" s="29" t="str">
        <x:v>S028</x:v>
      </x:c>
      <x:c r="C76" s="29" t="str">
        <x:v>多摩市部</x:v>
      </x:c>
      <x:c r="D76" s="29" t="str">
        <x:v>八王子市</x:v>
      </x:c>
      <x:c r="E76" s="29" t="str">
        <x:v>はちバス</x:v>
      </x:c>
      <x:c r="F76" s="29" t="str">
        <x:v>西部コース</x:v>
      </x:c>
      <x:c r="G76" s="29" t="str">
        <x:v>・100円、170円、200円（対距離運賃制） ・小児、障害者は半額 ・未就学児は無料</x:v>
      </x:c>
      <x:c r="H76" s="29" t="str">
        <x:v>西東京バス</x:v>
      </x:c>
      <x:c r="I76" s="29" t="str">
        <x:v>対象</x:v>
      </x:c>
      <x:c r="J76" s="29" t="n">
        <x:v>75</x:v>
      </x:c>
      <x:c r="K76" s="34" t="str">
        <x:v>https://www.toshiseibi1.metro.tokyo.lg.jp/bunyabetsu/kotsu_butsuryu/pdf/index_koutuu_01.xlsx</x:v>
      </x:c>
      <x:c r="L76" s="32" t="n">
        <x:v>46256</x:v>
      </x:c>
    </x:row>
    <x:row r="77" ht="40" customHeight="1">
      <x:c r="A77" s="29" t="str">
        <x:v>R074</x:v>
      </x:c>
      <x:c r="B77" s="29" t="str">
        <x:v>S028</x:v>
      </x:c>
      <x:c r="C77" s="29" t="str">
        <x:v>多摩市部</x:v>
      </x:c>
      <x:c r="D77" s="29" t="str">
        <x:v>八王子市</x:v>
      </x:c>
      <x:c r="E77" s="29" t="str">
        <x:v>はちバス</x:v>
      </x:c>
      <x:c r="F77" s="29" t="str">
        <x:v>東部コース</x:v>
      </x:c>
      <x:c r="G77" s="29" t="str">
        <x:v>・100円、170円、200円（対距離運賃制） ・小児、障害者は半額 ・未就学児は無料</x:v>
      </x:c>
      <x:c r="H77" s="29" t="str">
        <x:v>西東京バス</x:v>
      </x:c>
      <x:c r="I77" s="29" t="str">
        <x:v>対象</x:v>
      </x:c>
      <x:c r="J77" s="29" t="n">
        <x:v>76</x:v>
      </x:c>
      <x:c r="K77" s="34" t="str">
        <x:v>https://www.toshiseibi1.metro.tokyo.lg.jp/bunyabetsu/kotsu_butsuryu/pdf/index_koutuu_01.xlsx</x:v>
      </x:c>
      <x:c r="L77" s="32" t="n">
        <x:v>46256</x:v>
      </x:c>
    </x:row>
    <x:row r="78" ht="40" customHeight="1">
      <x:c r="A78" s="29" t="str">
        <x:v>R075</x:v>
      </x:c>
      <x:c r="B78" s="29" t="str">
        <x:v>S028</x:v>
      </x:c>
      <x:c r="C78" s="29" t="str">
        <x:v>多摩市部</x:v>
      </x:c>
      <x:c r="D78" s="29" t="str">
        <x:v>八王子市</x:v>
      </x:c>
      <x:c r="E78" s="29" t="str">
        <x:v>はちバス</x:v>
      </x:c>
      <x:c r="F78" s="29" t="str">
        <x:v>西南部コース</x:v>
      </x:c>
      <x:c r="G78" s="29" t="str">
        <x:v>・100円、170円、200円（対距離運賃制） ・小児、障害者は半額 ・未就学児は無料</x:v>
      </x:c>
      <x:c r="H78" s="29" t="str">
        <x:v>西東京バス</x:v>
      </x:c>
      <x:c r="I78" s="29" t="str">
        <x:v>対象</x:v>
      </x:c>
      <x:c r="J78" s="29" t="n">
        <x:v>77</x:v>
      </x:c>
      <x:c r="K78" s="34" t="str">
        <x:v>https://www.toshiseibi1.metro.tokyo.lg.jp/bunyabetsu/kotsu_butsuryu/pdf/index_koutuu_01.xlsx</x:v>
      </x:c>
      <x:c r="L78" s="32" t="n">
        <x:v>46256</x:v>
      </x:c>
    </x:row>
    <x:row r="79" ht="40" customHeight="1">
      <x:c r="A79" s="29" t="str">
        <x:v>R076</x:v>
      </x:c>
      <x:c r="B79" s="29" t="str">
        <x:v>S029</x:v>
      </x:c>
      <x:c r="C79" s="29" t="str">
        <x:v>多摩市部</x:v>
      </x:c>
      <x:c r="D79" s="29" t="str">
        <x:v>立川市</x:v>
      </x:c>
      <x:c r="E79" s="29" t="str">
        <x:v>くるりんバス</x:v>
      </x:c>
      <x:c r="F79" s="29" t="str">
        <x:v>西砂ルート</x:v>
      </x:c>
      <x:c r="G79" s="29" t="str">
        <x:v>180円</x:v>
      </x:c>
      <x:c r="H79" s="29" t="str">
        <x:v>立川バス</x:v>
      </x:c>
      <x:c r="I79" s="29" t="str">
        <x:v>対象</x:v>
      </x:c>
      <x:c r="J79" s="29" t="n">
        <x:v>78</x:v>
      </x:c>
      <x:c r="K79" s="34" t="str">
        <x:v>https://www.toshiseibi1.metro.tokyo.lg.jp/bunyabetsu/kotsu_butsuryu/pdf/index_koutuu_01.xlsx</x:v>
      </x:c>
      <x:c r="L79" s="32" t="n">
        <x:v>46256</x:v>
      </x:c>
    </x:row>
    <x:row r="80" ht="40" customHeight="1">
      <x:c r="A80" s="29" t="str">
        <x:v>R077</x:v>
      </x:c>
      <x:c r="B80" s="29" t="str">
        <x:v>S029</x:v>
      </x:c>
      <x:c r="C80" s="29" t="str">
        <x:v>多摩市部</x:v>
      </x:c>
      <x:c r="D80" s="29" t="str">
        <x:v>立川市</x:v>
      </x:c>
      <x:c r="E80" s="29" t="str">
        <x:v>くるりんバス</x:v>
      </x:c>
      <x:c r="F80" s="29" t="str">
        <x:v>錦ルート</x:v>
      </x:c>
      <x:c r="G80" s="29" t="str">
        <x:v>180円</x:v>
      </x:c>
      <x:c r="H80" s="29" t="str">
        <x:v>立川バス</x:v>
      </x:c>
      <x:c r="I80" s="29" t="str">
        <x:v>対象</x:v>
      </x:c>
      <x:c r="J80" s="29" t="n">
        <x:v>79</x:v>
      </x:c>
      <x:c r="K80" s="34" t="str">
        <x:v>https://www.toshiseibi1.metro.tokyo.lg.jp/bunyabetsu/kotsu_butsuryu/pdf/index_koutuu_01.xlsx</x:v>
      </x:c>
      <x:c r="L80" s="32" t="n">
        <x:v>46256</x:v>
      </x:c>
    </x:row>
    <x:row r="81" ht="40" customHeight="1">
      <x:c r="A81" s="29" t="str">
        <x:v>R078</x:v>
      </x:c>
      <x:c r="B81" s="29" t="str">
        <x:v>S030</x:v>
      </x:c>
      <x:c r="C81" s="29" t="str">
        <x:v>多摩市部</x:v>
      </x:c>
      <x:c r="D81" s="29" t="str">
        <x:v>武蔵野市</x:v>
      </x:c>
      <x:c r="E81" s="29" t="str">
        <x:v>ムーバス</x:v>
      </x:c>
      <x:c r="F81" s="29" t="str">
        <x:v>吉祥寺東循環</x:v>
      </x:c>
      <x:c r="G81" s="29" t="str">
        <x:v>100円</x:v>
      </x:c>
      <x:c r="H81" s="29" t="str">
        <x:v>関東バス</x:v>
      </x:c>
      <x:c r="I81" s="29" t="str">
        <x:v>対象</x:v>
      </x:c>
      <x:c r="J81" s="29" t="n">
        <x:v>80</x:v>
      </x:c>
      <x:c r="K81" s="34" t="str">
        <x:v>https://www.toshiseibi1.metro.tokyo.lg.jp/bunyabetsu/kotsu_butsuryu/pdf/index_koutuu_01.xlsx</x:v>
      </x:c>
      <x:c r="L81" s="32" t="n">
        <x:v>46256</x:v>
      </x:c>
    </x:row>
    <x:row r="82" ht="40" customHeight="1">
      <x:c r="A82" s="29" t="str">
        <x:v>R079</x:v>
      </x:c>
      <x:c r="B82" s="29" t="str">
        <x:v>S030</x:v>
      </x:c>
      <x:c r="C82" s="29" t="str">
        <x:v>多摩市部</x:v>
      </x:c>
      <x:c r="D82" s="29" t="str">
        <x:v>武蔵野市</x:v>
      </x:c>
      <x:c r="E82" s="29" t="str">
        <x:v>ムーバス</x:v>
      </x:c>
      <x:c r="F82" s="29" t="str">
        <x:v>吉祥寺北西循環</x:v>
      </x:c>
      <x:c r="G82" s="29" t="str">
        <x:v>100円</x:v>
      </x:c>
      <x:c r="H82" s="29" t="str">
        <x:v>関東バス</x:v>
      </x:c>
      <x:c r="I82" s="29" t="str">
        <x:v>対象</x:v>
      </x:c>
      <x:c r="J82" s="29" t="n">
        <x:v>81</x:v>
      </x:c>
      <x:c r="K82" s="34" t="str">
        <x:v>https://www.toshiseibi1.metro.tokyo.lg.jp/bunyabetsu/kotsu_butsuryu/pdf/index_koutuu_01.xlsx</x:v>
      </x:c>
      <x:c r="L82" s="32" t="n">
        <x:v>46256</x:v>
      </x:c>
    </x:row>
    <x:row r="83" ht="40" customHeight="1">
      <x:c r="A83" s="29" t="str">
        <x:v>R080</x:v>
      </x:c>
      <x:c r="B83" s="29" t="str">
        <x:v>S030</x:v>
      </x:c>
      <x:c r="C83" s="29" t="str">
        <x:v>多摩市部</x:v>
      </x:c>
      <x:c r="D83" s="29" t="str">
        <x:v>武蔵野市</x:v>
      </x:c>
      <x:c r="E83" s="29" t="str">
        <x:v>ムーバス</x:v>
      </x:c>
      <x:c r="F83" s="29" t="str">
        <x:v>境南・東循環/境南・西循環</x:v>
      </x:c>
      <x:c r="G83" s="29" t="str">
        <x:v>100円</x:v>
      </x:c>
      <x:c r="H83" s="29" t="str">
        <x:v>小田急バス</x:v>
      </x:c>
      <x:c r="I83" s="29" t="str">
        <x:v>対象</x:v>
      </x:c>
      <x:c r="J83" s="29" t="n">
        <x:v>82</x:v>
      </x:c>
      <x:c r="K83" s="34" t="str">
        <x:v>https://www.toshiseibi1.metro.tokyo.lg.jp/bunyabetsu/kotsu_butsuryu/pdf/index_koutuu_01.xlsx</x:v>
      </x:c>
      <x:c r="L83" s="32" t="n">
        <x:v>46256</x:v>
      </x:c>
    </x:row>
    <x:row r="84" ht="40" customHeight="1">
      <x:c r="A84" s="29" t="str">
        <x:v>R081</x:v>
      </x:c>
      <x:c r="B84" s="29" t="str">
        <x:v>S030</x:v>
      </x:c>
      <x:c r="C84" s="29" t="str">
        <x:v>多摩市部</x:v>
      </x:c>
      <x:c r="D84" s="29" t="str">
        <x:v>武蔵野市</x:v>
      </x:c>
      <x:c r="E84" s="29" t="str">
        <x:v>ムーバス</x:v>
      </x:c>
      <x:c r="F84" s="29" t="str">
        <x:v>三鷹駅北西循環</x:v>
      </x:c>
      <x:c r="G84" s="29" t="str">
        <x:v>100円</x:v>
      </x:c>
      <x:c r="H84" s="29" t="str">
        <x:v>関東バス</x:v>
      </x:c>
      <x:c r="I84" s="29" t="str">
        <x:v>対象</x:v>
      </x:c>
      <x:c r="J84" s="29" t="n">
        <x:v>83</x:v>
      </x:c>
      <x:c r="K84" s="34" t="str">
        <x:v>https://www.toshiseibi1.metro.tokyo.lg.jp/bunyabetsu/kotsu_butsuryu/pdf/index_koutuu_01.xlsx</x:v>
      </x:c>
      <x:c r="L84" s="32" t="n">
        <x:v>46256</x:v>
      </x:c>
    </x:row>
    <x:row r="85" ht="40" customHeight="1">
      <x:c r="A85" s="29" t="str">
        <x:v>R082</x:v>
      </x:c>
      <x:c r="B85" s="29" t="str">
        <x:v>S030</x:v>
      </x:c>
      <x:c r="C85" s="29" t="str">
        <x:v>多摩市部</x:v>
      </x:c>
      <x:c r="D85" s="29" t="str">
        <x:v>武蔵野市</x:v>
      </x:c>
      <x:c r="E85" s="29" t="str">
        <x:v>ムーバス</x:v>
      </x:c>
      <x:c r="F85" s="29" t="str">
        <x:v>境西循環／境・東小金井線</x:v>
      </x:c>
      <x:c r="G85" s="29" t="str">
        <x:v>100円</x:v>
      </x:c>
      <x:c r="H85" s="29" t="str">
        <x:v>小田急バス</x:v>
      </x:c>
      <x:c r="I85" s="29" t="str">
        <x:v>対象</x:v>
      </x:c>
      <x:c r="J85" s="29" t="n">
        <x:v>84</x:v>
      </x:c>
      <x:c r="K85" s="34" t="str">
        <x:v>https://www.toshiseibi1.metro.tokyo.lg.jp/bunyabetsu/kotsu_butsuryu/pdf/index_koutuu_01.xlsx</x:v>
      </x:c>
      <x:c r="L85" s="32" t="n">
        <x:v>46256</x:v>
      </x:c>
    </x:row>
    <x:row r="86" ht="40" customHeight="1">
      <x:c r="A86" s="29" t="str">
        <x:v>R083</x:v>
      </x:c>
      <x:c r="B86" s="29" t="str">
        <x:v>S030</x:v>
      </x:c>
      <x:c r="C86" s="29" t="str">
        <x:v>多摩市部</x:v>
      </x:c>
      <x:c r="D86" s="29" t="str">
        <x:v>武蔵野市</x:v>
      </x:c>
      <x:c r="E86" s="29" t="str">
        <x:v>ムーバス</x:v>
      </x:c>
      <x:c r="F86" s="29" t="str">
        <x:v>三鷹・吉祥寺循環</x:v>
      </x:c>
      <x:c r="G86" s="29" t="str">
        <x:v>100円</x:v>
      </x:c>
      <x:c r="H86" s="29" t="str">
        <x:v>関東バス</x:v>
      </x:c>
      <x:c r="I86" s="29" t="str">
        <x:v>対象</x:v>
      </x:c>
      <x:c r="J86" s="29" t="n">
        <x:v>85</x:v>
      </x:c>
      <x:c r="K86" s="34" t="str">
        <x:v>https://www.toshiseibi1.metro.tokyo.lg.jp/bunyabetsu/kotsu_butsuryu/pdf/index_koutuu_01.xlsx</x:v>
      </x:c>
      <x:c r="L86" s="32" t="n">
        <x:v>46256</x:v>
      </x:c>
    </x:row>
    <x:row r="87" ht="40" customHeight="1">
      <x:c r="A87" s="29" t="str">
        <x:v>R084</x:v>
      </x:c>
      <x:c r="B87" s="29" t="str">
        <x:v>S030</x:v>
      </x:c>
      <x:c r="C87" s="29" t="str">
        <x:v>多摩市部</x:v>
      </x:c>
      <x:c r="D87" s="29" t="str">
        <x:v>武蔵野市</x:v>
      </x:c>
      <x:c r="E87" s="29" t="str">
        <x:v>ムーバス</x:v>
      </x:c>
      <x:c r="F87" s="29" t="str">
        <x:v>境・三鷹循環</x:v>
      </x:c>
      <x:c r="G87" s="29" t="str">
        <x:v>100円</x:v>
      </x:c>
      <x:c r="H87" s="29" t="str">
        <x:v>小田急バス</x:v>
      </x:c>
      <x:c r="I87" s="29" t="str">
        <x:v>対象</x:v>
      </x:c>
      <x:c r="J87" s="29" t="n">
        <x:v>86</x:v>
      </x:c>
      <x:c r="K87" s="34" t="str">
        <x:v>https://www.toshiseibi1.metro.tokyo.lg.jp/bunyabetsu/kotsu_butsuryu/pdf/index_koutuu_01.xlsx</x:v>
      </x:c>
      <x:c r="L87" s="32" t="n">
        <x:v>46256</x:v>
      </x:c>
    </x:row>
    <x:row r="88" ht="40" customHeight="1">
      <x:c r="A88" s="29" t="str">
        <x:v>R085</x:v>
      </x:c>
      <x:c r="B88" s="29" t="str">
        <x:v>S031</x:v>
      </x:c>
      <x:c r="C88" s="29" t="str">
        <x:v>多摩市部</x:v>
      </x:c>
      <x:c r="D88" s="29" t="str">
        <x:v>武蔵野市</x:v>
      </x:c>
      <x:c r="E88" s="29" t="str">
        <x:v>武蔵野市移送サービス事業 （レモンキャブ）</x:v>
      </x:c>
      <x:c r="F88" s="29" t="str">
        <x:v>市内・近隣市区</x:v>
      </x:c>
      <x:c r="G88" s="29" t="str">
        <x:v>800円/30分</x:v>
      </x:c>
      <x:c r="H88" s="29" t="str">
        <x:v>武蔵野市民社会福祉協議会</x:v>
      </x:c>
      <x:c r="I88" s="29" t="str">
        <x:v>要確認（福祉移送）</x:v>
      </x:c>
      <x:c r="J88" s="29" t="n">
        <x:v>87</x:v>
      </x:c>
      <x:c r="K88" s="34" t="str">
        <x:v>https://www.toshiseibi1.metro.tokyo.lg.jp/bunyabetsu/kotsu_butsuryu/pdf/index_koutuu_01.xlsx</x:v>
      </x:c>
      <x:c r="L88" s="32" t="n">
        <x:v>46256</x:v>
      </x:c>
    </x:row>
    <x:row r="89" ht="40" customHeight="1">
      <x:c r="A89" s="29" t="str">
        <x:v>R086</x:v>
      </x:c>
      <x:c r="B89" s="29" t="str">
        <x:v>S032</x:v>
      </x:c>
      <x:c r="C89" s="29" t="str">
        <x:v>多摩市部</x:v>
      </x:c>
      <x:c r="D89" s="29" t="str">
        <x:v>三鷹市</x:v>
      </x:c>
      <x:c r="E89" s="29" t="str">
        <x:v>みたかシティバス</x:v>
      </x:c>
      <x:c r="F89" s="29" t="str">
        <x:v>北野ルート</x:v>
      </x:c>
      <x:c r="G89" s="29" t="str">
        <x:v>大人210円 小児110円</x:v>
      </x:c>
      <x:c r="H89" s="29" t="str">
        <x:v>小田急バス</x:v>
      </x:c>
      <x:c r="I89" s="29" t="str">
        <x:v>対象</x:v>
      </x:c>
      <x:c r="J89" s="29" t="n">
        <x:v>88</x:v>
      </x:c>
      <x:c r="K89" s="34" t="str">
        <x:v>https://www.toshiseibi1.metro.tokyo.lg.jp/bunyabetsu/kotsu_butsuryu/pdf/index_koutuu_01.xlsx</x:v>
      </x:c>
      <x:c r="L89" s="32" t="n">
        <x:v>46256</x:v>
      </x:c>
    </x:row>
    <x:row r="90" ht="40" customHeight="1">
      <x:c r="A90" s="29" t="str">
        <x:v>R087</x:v>
      </x:c>
      <x:c r="B90" s="29" t="str">
        <x:v>S032</x:v>
      </x:c>
      <x:c r="C90" s="29" t="str">
        <x:v>多摩市部</x:v>
      </x:c>
      <x:c r="D90" s="29" t="str">
        <x:v>三鷹市</x:v>
      </x:c>
      <x:c r="E90" s="29" t="str">
        <x:v>みたかシティバス</x:v>
      </x:c>
      <x:c r="F90" s="29" t="str">
        <x:v>三鷹台ルート</x:v>
      </x:c>
      <x:c r="G90" s="29" t="str">
        <x:v>大人210円 小児110円</x:v>
      </x:c>
      <x:c r="H90" s="29" t="str">
        <x:v>小田急バス</x:v>
      </x:c>
      <x:c r="I90" s="29" t="str">
        <x:v>対象</x:v>
      </x:c>
      <x:c r="J90" s="29" t="n">
        <x:v>89</x:v>
      </x:c>
      <x:c r="K90" s="34" t="str">
        <x:v>https://www.toshiseibi1.metro.tokyo.lg.jp/bunyabetsu/kotsu_butsuryu/pdf/index_koutuu_01.xlsx</x:v>
      </x:c>
      <x:c r="L90" s="32" t="n">
        <x:v>46256</x:v>
      </x:c>
    </x:row>
    <x:row r="91" ht="40" customHeight="1">
      <x:c r="A91" s="29" t="str">
        <x:v>R088</x:v>
      </x:c>
      <x:c r="B91" s="29" t="str">
        <x:v>S032</x:v>
      </x:c>
      <x:c r="C91" s="29" t="str">
        <x:v>多摩市部</x:v>
      </x:c>
      <x:c r="D91" s="29" t="str">
        <x:v>三鷹市</x:v>
      </x:c>
      <x:c r="E91" s="29" t="str">
        <x:v>みたかシティバス</x:v>
      </x:c>
      <x:c r="F91" s="29" t="str">
        <x:v>明星学園ルート</x:v>
      </x:c>
      <x:c r="G91" s="29" t="str">
        <x:v>大人210円 小児110円</x:v>
      </x:c>
      <x:c r="H91" s="29" t="str">
        <x:v>小田急バス</x:v>
      </x:c>
      <x:c r="I91" s="29" t="str">
        <x:v>対象</x:v>
      </x:c>
      <x:c r="J91" s="29" t="n">
        <x:v>90</x:v>
      </x:c>
      <x:c r="K91" s="34" t="str">
        <x:v>https://www.toshiseibi1.metro.tokyo.lg.jp/bunyabetsu/kotsu_butsuryu/pdf/index_koutuu_01.xlsx</x:v>
      </x:c>
      <x:c r="L91" s="32" t="n">
        <x:v>46256</x:v>
      </x:c>
    </x:row>
    <x:row r="92" ht="40" customHeight="1">
      <x:c r="A92" s="29" t="str">
        <x:v>R089</x:v>
      </x:c>
      <x:c r="B92" s="29" t="str">
        <x:v>S032</x:v>
      </x:c>
      <x:c r="C92" s="29" t="str">
        <x:v>多摩市部</x:v>
      </x:c>
      <x:c r="D92" s="29" t="str">
        <x:v>三鷹市</x:v>
      </x:c>
      <x:c r="E92" s="29" t="str">
        <x:v>みたかシティバス</x:v>
      </x:c>
      <x:c r="F92" s="29" t="str">
        <x:v>三鷹の森ジブリ美術館ルート</x:v>
      </x:c>
      <x:c r="G92" s="29" t="str">
        <x:v>大人210円 小児110円</x:v>
      </x:c>
      <x:c r="H92" s="29" t="str">
        <x:v>小田急バス</x:v>
      </x:c>
      <x:c r="I92" s="29" t="str">
        <x:v>対象</x:v>
      </x:c>
      <x:c r="J92" s="29" t="n">
        <x:v>91</x:v>
      </x:c>
      <x:c r="K92" s="34" t="str">
        <x:v>https://www.toshiseibi1.metro.tokyo.lg.jp/bunyabetsu/kotsu_butsuryu/pdf/index_koutuu_01.xlsx</x:v>
      </x:c>
      <x:c r="L92" s="32" t="n">
        <x:v>46256</x:v>
      </x:c>
    </x:row>
    <x:row r="93" ht="40" customHeight="1">
      <x:c r="A93" s="29" t="str">
        <x:v>R090</x:v>
      </x:c>
      <x:c r="B93" s="29" t="str">
        <x:v>S032</x:v>
      </x:c>
      <x:c r="C93" s="29" t="str">
        <x:v>多摩市部</x:v>
      </x:c>
      <x:c r="D93" s="29" t="str">
        <x:v>三鷹市</x:v>
      </x:c>
      <x:c r="E93" s="29" t="str">
        <x:v>みたかシティバス</x:v>
      </x:c>
      <x:c r="F93" s="29" t="str">
        <x:v>新川・中原ルート</x:v>
      </x:c>
      <x:c r="G93" s="29" t="str">
        <x:v>大人210円 小児110円</x:v>
      </x:c>
      <x:c r="H93" s="29" t="str">
        <x:v>小田急バス・京王バス</x:v>
      </x:c>
      <x:c r="I93" s="29" t="str">
        <x:v>対象</x:v>
      </x:c>
      <x:c r="J93" s="29" t="n">
        <x:v>92</x:v>
      </x:c>
      <x:c r="K93" s="34" t="str">
        <x:v>https://www.toshiseibi1.metro.tokyo.lg.jp/bunyabetsu/kotsu_butsuryu/pdf/index_koutuu_01.xlsx</x:v>
      </x:c>
      <x:c r="L93" s="32" t="n">
        <x:v>46256</x:v>
      </x:c>
    </x:row>
    <x:row r="94" ht="40" customHeight="1">
      <x:c r="A94" s="29" t="str">
        <x:v>R091</x:v>
      </x:c>
      <x:c r="B94" s="29" t="str">
        <x:v>S033</x:v>
      </x:c>
      <x:c r="C94" s="29" t="str">
        <x:v>多摩市部</x:v>
      </x:c>
      <x:c r="D94" s="29" t="str">
        <x:v>三鷹市</x:v>
      </x:c>
      <x:c r="E94" s="29" t="str">
        <x:v>ムーバス</x:v>
      </x:c>
      <x:c r="F94" s="29" t="str">
        <x:v>三鷹‐境循環共同運行ルート</x:v>
      </x:c>
      <x:c r="G94" s="29" t="str">
        <x:v>100円</x:v>
      </x:c>
      <x:c r="H94" s="29" t="str">
        <x:v>小田急バス</x:v>
      </x:c>
      <x:c r="I94" s="29" t="str">
        <x:v>対象</x:v>
      </x:c>
      <x:c r="J94" s="29" t="n">
        <x:v>93</x:v>
      </x:c>
      <x:c r="K94" s="34" t="str">
        <x:v>https://www.toshiseibi1.metro.tokyo.lg.jp/bunyabetsu/kotsu_butsuryu/pdf/index_koutuu_01.xlsx</x:v>
      </x:c>
      <x:c r="L94" s="32" t="n">
        <x:v>46256</x:v>
      </x:c>
    </x:row>
    <x:row r="95" ht="40" customHeight="1">
      <x:c r="A95" s="29" t="str">
        <x:v>R092</x:v>
      </x:c>
      <x:c r="B95" s="29" t="str">
        <x:v>S034</x:v>
      </x:c>
      <x:c r="C95" s="29" t="str">
        <x:v>多摩市部</x:v>
      </x:c>
      <x:c r="D95" s="29" t="str">
        <x:v>三鷹市</x:v>
      </x:c>
      <x:c r="E95" s="29" t="str">
        <x:v>井のバス</x:v>
      </x:c>
      <x:c r="F95" s="29" t="str">
        <x:v>三鷹台・明星学園ルート</x:v>
      </x:c>
      <x:c r="G95" s="29" t="str">
        <x:v>100円（大人・小児同額）</x:v>
      </x:c>
      <x:c r="H95" s="29" t="str">
        <x:v>京王自動車</x:v>
      </x:c>
      <x:c r="I95" s="29" t="str">
        <x:v>対象</x:v>
      </x:c>
      <x:c r="J95" s="29" t="n">
        <x:v>94</x:v>
      </x:c>
      <x:c r="K95" s="34" t="str">
        <x:v>https://www.toshiseibi1.metro.tokyo.lg.jp/bunyabetsu/kotsu_butsuryu/pdf/index_koutuu_01.xlsx</x:v>
      </x:c>
      <x:c r="L95" s="32" t="n">
        <x:v>46256</x:v>
      </x:c>
    </x:row>
    <x:row r="96" ht="40" customHeight="1">
      <x:c r="A96" s="29" t="str">
        <x:v>R093</x:v>
      </x:c>
      <x:c r="B96" s="29" t="str">
        <x:v>S035</x:v>
      </x:c>
      <x:c r="C96" s="29" t="str">
        <x:v>多摩市部</x:v>
      </x:c>
      <x:c r="D96" s="29" t="str">
        <x:v>三鷹市</x:v>
      </x:c>
      <x:c r="E96" s="29" t="str">
        <x:v>大沢めぐり号、ほたる号</x:v>
      </x:c>
      <x:c r="F96" s="29" t="str">
        <x:v>三鷹市西部エリアAIデマンド交通</x:v>
      </x:c>
      <x:c r="G96" s="29" t="str">
        <x:v>エリア内100円 エリア外300円</x:v>
      </x:c>
      <x:c r="H96" s="29" t="str">
        <x:v>寿交通 境交通</x:v>
      </x:c>
      <x:c r="I96" s="29" t="str">
        <x:v>対象</x:v>
      </x:c>
      <x:c r="J96" s="29" t="n">
        <x:v>95</x:v>
      </x:c>
      <x:c r="K96" s="34" t="str">
        <x:v>https://www.toshiseibi1.metro.tokyo.lg.jp/bunyabetsu/kotsu_butsuryu/pdf/index_koutuu_01.xlsx</x:v>
      </x:c>
      <x:c r="L96" s="32" t="n">
        <x:v>46256</x:v>
      </x:c>
    </x:row>
    <x:row r="97" ht="40" customHeight="1">
      <x:c r="A97" s="29" t="str">
        <x:v>R094</x:v>
      </x:c>
      <x:c r="B97" s="29" t="str">
        <x:v>S036</x:v>
      </x:c>
      <x:c r="C97" s="29" t="str">
        <x:v>多摩市部</x:v>
      </x:c>
      <x:c r="D97" s="29" t="str">
        <x:v>府中市</x:v>
      </x:c>
      <x:c r="E97" s="29" t="str">
        <x:v>ちゅうバス</x:v>
      </x:c>
      <x:c r="F97" s="29" t="str">
        <x:v>南町・四谷循環（よつや苑西ルート・四谷六丁目ルート）</x:v>
      </x:c>
      <x:c r="G97" s="29" t="str">
        <x:v>100円</x:v>
      </x:c>
      <x:c r="H97" s="29" t="str">
        <x:v>京王バス</x:v>
      </x:c>
      <x:c r="I97" s="29" t="str">
        <x:v>対象</x:v>
      </x:c>
      <x:c r="J97" s="29" t="n">
        <x:v>96</x:v>
      </x:c>
      <x:c r="K97" s="34" t="str">
        <x:v>https://www.toshiseibi1.metro.tokyo.lg.jp/bunyabetsu/kotsu_butsuryu/pdf/index_koutuu_01.xlsx</x:v>
      </x:c>
      <x:c r="L97" s="32" t="n">
        <x:v>46256</x:v>
      </x:c>
    </x:row>
    <x:row r="98" ht="40" customHeight="1">
      <x:c r="A98" s="29" t="str">
        <x:v>R095</x:v>
      </x:c>
      <x:c r="B98" s="29" t="str">
        <x:v>S036</x:v>
      </x:c>
      <x:c r="C98" s="29" t="str">
        <x:v>多摩市部</x:v>
      </x:c>
      <x:c r="D98" s="29" t="str">
        <x:v>府中市</x:v>
      </x:c>
      <x:c r="E98" s="29" t="str">
        <x:v>ちゅうバス</x:v>
      </x:c>
      <x:c r="F98" s="29" t="str">
        <x:v>押立町・朝日町循環（押立町ルート・朝日町ルート）</x:v>
      </x:c>
      <x:c r="G98" s="29" t="str">
        <x:v>100円</x:v>
      </x:c>
      <x:c r="H98" s="29" t="str">
        <x:v>京王バス</x:v>
      </x:c>
      <x:c r="I98" s="29" t="str">
        <x:v>対象</x:v>
      </x:c>
      <x:c r="J98" s="29" t="n">
        <x:v>97</x:v>
      </x:c>
      <x:c r="K98" s="34" t="str">
        <x:v>https://www.toshiseibi1.metro.tokyo.lg.jp/bunyabetsu/kotsu_butsuryu/pdf/index_koutuu_01.xlsx</x:v>
      </x:c>
      <x:c r="L98" s="32" t="n">
        <x:v>46256</x:v>
      </x:c>
    </x:row>
    <x:row r="99" ht="40" customHeight="1">
      <x:c r="A99" s="29" t="str">
        <x:v>R096</x:v>
      </x:c>
      <x:c r="B99" s="29" t="str">
        <x:v>S036</x:v>
      </x:c>
      <x:c r="C99" s="29" t="str">
        <x:v>多摩市部</x:v>
      </x:c>
      <x:c r="D99" s="29" t="str">
        <x:v>府中市</x:v>
      </x:c>
      <x:c r="E99" s="29" t="str">
        <x:v>ちゅうバス</x:v>
      </x:c>
      <x:c r="F99" s="29" t="str">
        <x:v>多磨町ルート</x:v>
      </x:c>
      <x:c r="G99" s="29" t="str">
        <x:v>100円</x:v>
      </x:c>
      <x:c r="H99" s="29" t="str">
        <x:v>京王バス</x:v>
      </x:c>
      <x:c r="I99" s="29" t="str">
        <x:v>対象</x:v>
      </x:c>
      <x:c r="J99" s="29" t="n">
        <x:v>98</x:v>
      </x:c>
      <x:c r="K99" s="34" t="str">
        <x:v>https://www.toshiseibi1.metro.tokyo.lg.jp/bunyabetsu/kotsu_butsuryu/pdf/index_koutuu_01.xlsx</x:v>
      </x:c>
      <x:c r="L99" s="32" t="n">
        <x:v>46256</x:v>
      </x:c>
    </x:row>
    <x:row r="100" ht="40" customHeight="1">
      <x:c r="A100" s="29" t="str">
        <x:v>R097</x:v>
      </x:c>
      <x:c r="B100" s="29" t="str">
        <x:v>S036</x:v>
      </x:c>
      <x:c r="C100" s="29" t="str">
        <x:v>多摩市部</x:v>
      </x:c>
      <x:c r="D100" s="29" t="str">
        <x:v>府中市</x:v>
      </x:c>
      <x:c r="E100" s="29" t="str">
        <x:v>ちゅうバス</x:v>
      </x:c>
      <x:c r="F100" s="29" t="str">
        <x:v>北山町循環</x:v>
      </x:c>
      <x:c r="G100" s="29" t="str">
        <x:v>100円</x:v>
      </x:c>
      <x:c r="H100" s="29" t="str">
        <x:v>京王バス</x:v>
      </x:c>
      <x:c r="I100" s="29" t="str">
        <x:v>対象</x:v>
      </x:c>
      <x:c r="J100" s="29" t="n">
        <x:v>99</x:v>
      </x:c>
      <x:c r="K100" s="34" t="str">
        <x:v>https://www.toshiseibi1.metro.tokyo.lg.jp/bunyabetsu/kotsu_butsuryu/pdf/index_koutuu_01.xlsx</x:v>
      </x:c>
      <x:c r="L100" s="32" t="n">
        <x:v>46256</x:v>
      </x:c>
    </x:row>
    <x:row r="101" ht="40" customHeight="1">
      <x:c r="A101" s="29" t="str">
        <x:v>R098</x:v>
      </x:c>
      <x:c r="B101" s="29" t="str">
        <x:v>S036</x:v>
      </x:c>
      <x:c r="C101" s="29" t="str">
        <x:v>多摩市部</x:v>
      </x:c>
      <x:c r="D101" s="29" t="str">
        <x:v>府中市</x:v>
      </x:c>
      <x:c r="E101" s="29" t="str">
        <x:v>ちゅうバス</x:v>
      </x:c>
      <x:c r="F101" s="29" t="str">
        <x:v>是政循環</x:v>
      </x:c>
      <x:c r="G101" s="29" t="str">
        <x:v>100円</x:v>
      </x:c>
      <x:c r="H101" s="29" t="str">
        <x:v>京王バス</x:v>
      </x:c>
      <x:c r="I101" s="29" t="str">
        <x:v>対象</x:v>
      </x:c>
      <x:c r="J101" s="29" t="n">
        <x:v>100</x:v>
      </x:c>
      <x:c r="K101" s="34" t="str">
        <x:v>https://www.toshiseibi1.metro.tokyo.lg.jp/bunyabetsu/kotsu_butsuryu/pdf/index_koutuu_01.xlsx</x:v>
      </x:c>
      <x:c r="L101" s="32" t="n">
        <x:v>46256</x:v>
      </x:c>
    </x:row>
    <x:row r="102" ht="40" customHeight="1">
      <x:c r="A102" s="29" t="str">
        <x:v>R099</x:v>
      </x:c>
      <x:c r="B102" s="29" t="str">
        <x:v>S037</x:v>
      </x:c>
      <x:c r="C102" s="29" t="str">
        <x:v>多摩市部</x:v>
      </x:c>
      <x:c r="D102" s="29" t="str">
        <x:v>昭島市</x:v>
      </x:c>
      <x:c r="E102" s="29" t="str">
        <x:v>Ａバス</x:v>
      </x:c>
      <x:c r="F102" s="29" t="str">
        <x:v>東ルート</x:v>
      </x:c>
      <x:c r="G102" s="29" t="str">
        <x:v>100円</x:v>
      </x:c>
      <x:c r="H102" s="29" t="str">
        <x:v>立川バス</x:v>
      </x:c>
      <x:c r="I102" s="29" t="str">
        <x:v>対象</x:v>
      </x:c>
      <x:c r="J102" s="29" t="n">
        <x:v>101</x:v>
      </x:c>
      <x:c r="K102" s="34" t="str">
        <x:v>https://www.toshiseibi1.metro.tokyo.lg.jp/bunyabetsu/kotsu_butsuryu/pdf/index_koutuu_01.xlsx</x:v>
      </x:c>
      <x:c r="L102" s="32" t="n">
        <x:v>46256</x:v>
      </x:c>
    </x:row>
    <x:row r="103" ht="40" customHeight="1">
      <x:c r="A103" s="29" t="str">
        <x:v>R100</x:v>
      </x:c>
      <x:c r="B103" s="29" t="str">
        <x:v>S037</x:v>
      </x:c>
      <x:c r="C103" s="29" t="str">
        <x:v>多摩市部</x:v>
      </x:c>
      <x:c r="D103" s="29" t="str">
        <x:v>昭島市</x:v>
      </x:c>
      <x:c r="E103" s="29" t="str">
        <x:v>Ａバス</x:v>
      </x:c>
      <x:c r="F103" s="29" t="str">
        <x:v>西ルート</x:v>
      </x:c>
      <x:c r="G103" s="29" t="str">
        <x:v>100円</x:v>
      </x:c>
      <x:c r="H103" s="29" t="str">
        <x:v>立川バス</x:v>
      </x:c>
      <x:c r="I103" s="29" t="str">
        <x:v>対象</x:v>
      </x:c>
      <x:c r="J103" s="29" t="n">
        <x:v>102</x:v>
      </x:c>
      <x:c r="K103" s="34" t="str">
        <x:v>https://www.toshiseibi1.metro.tokyo.lg.jp/bunyabetsu/kotsu_butsuryu/pdf/index_koutuu_01.xlsx</x:v>
      </x:c>
      <x:c r="L103" s="32" t="n">
        <x:v>46256</x:v>
      </x:c>
    </x:row>
    <x:row r="104" ht="40" customHeight="1">
      <x:c r="A104" s="29" t="str">
        <x:v>R101</x:v>
      </x:c>
      <x:c r="B104" s="29" t="str">
        <x:v>S037</x:v>
      </x:c>
      <x:c r="C104" s="29" t="str">
        <x:v>多摩市部</x:v>
      </x:c>
      <x:c r="D104" s="29" t="str">
        <x:v>昭島市</x:v>
      </x:c>
      <x:c r="E104" s="29" t="str">
        <x:v>Ａバス</x:v>
      </x:c>
      <x:c r="F104" s="29" t="str">
        <x:v>北ルート</x:v>
      </x:c>
      <x:c r="G104" s="29" t="str">
        <x:v>100円</x:v>
      </x:c>
      <x:c r="H104" s="29" t="str">
        <x:v>立川バス</x:v>
      </x:c>
      <x:c r="I104" s="29" t="str">
        <x:v>対象</x:v>
      </x:c>
      <x:c r="J104" s="29" t="n">
        <x:v>103</x:v>
      </x:c>
      <x:c r="K104" s="34" t="str">
        <x:v>https://www.toshiseibi1.metro.tokyo.lg.jp/bunyabetsu/kotsu_butsuryu/pdf/index_koutuu_01.xlsx</x:v>
      </x:c>
      <x:c r="L104" s="32" t="n">
        <x:v>46256</x:v>
      </x:c>
    </x:row>
    <x:row r="105" ht="40" customHeight="1">
      <x:c r="A105" s="29" t="str">
        <x:v>R102</x:v>
      </x:c>
      <x:c r="B105" s="29" t="str">
        <x:v>S037</x:v>
      </x:c>
      <x:c r="C105" s="29" t="str">
        <x:v>多摩市部</x:v>
      </x:c>
      <x:c r="D105" s="29" t="str">
        <x:v>昭島市</x:v>
      </x:c>
      <x:c r="E105" s="29" t="str">
        <x:v>Ａバス</x:v>
      </x:c>
      <x:c r="F105" s="29" t="str">
        <x:v>中央ルート</x:v>
      </x:c>
      <x:c r="G105" s="29" t="str">
        <x:v>100円</x:v>
      </x:c>
      <x:c r="H105" s="29" t="str">
        <x:v>立川バス</x:v>
      </x:c>
      <x:c r="I105" s="29" t="str">
        <x:v>対象</x:v>
      </x:c>
      <x:c r="J105" s="29" t="n">
        <x:v>104</x:v>
      </x:c>
      <x:c r="K105" s="34" t="str">
        <x:v>https://www.toshiseibi1.metro.tokyo.lg.jp/bunyabetsu/kotsu_butsuryu/pdf/index_koutuu_01.xlsx</x:v>
      </x:c>
      <x:c r="L105" s="32" t="n">
        <x:v>46256</x:v>
      </x:c>
    </x:row>
    <x:row r="106" ht="40" customHeight="1">
      <x:c r="A106" s="29" t="str">
        <x:v>R103</x:v>
      </x:c>
      <x:c r="B106" s="29" t="str">
        <x:v>S038</x:v>
      </x:c>
      <x:c r="C106" s="29" t="str">
        <x:v>多摩市部</x:v>
      </x:c>
      <x:c r="D106" s="29" t="str">
        <x:v>調布市</x:v>
      </x:c>
      <x:c r="E106" s="29" t="str">
        <x:v>ミニバス</x:v>
      </x:c>
      <x:c r="F106" s="29" t="str">
        <x:v>西路線</x:v>
      </x:c>
      <x:c r="G106" s="29" t="str">
        <x:v>現金／大人210円・小児110円 IC／大人210円・小児105円</x:v>
      </x:c>
      <x:c r="H106" s="29" t="str">
        <x:v>京王バス</x:v>
      </x:c>
      <x:c r="I106" s="29" t="str">
        <x:v>対象</x:v>
      </x:c>
      <x:c r="J106" s="29" t="n">
        <x:v>105</x:v>
      </x:c>
      <x:c r="K106" s="34" t="str">
        <x:v>https://www.toshiseibi1.metro.tokyo.lg.jp/bunyabetsu/kotsu_butsuryu/pdf/index_koutuu_01.xlsx</x:v>
      </x:c>
      <x:c r="L106" s="32" t="n">
        <x:v>46256</x:v>
      </x:c>
    </x:row>
    <x:row r="107" ht="40" customHeight="1">
      <x:c r="A107" s="29" t="str">
        <x:v>R104</x:v>
      </x:c>
      <x:c r="B107" s="29" t="str">
        <x:v>S038</x:v>
      </x:c>
      <x:c r="C107" s="29" t="str">
        <x:v>多摩市部</x:v>
      </x:c>
      <x:c r="D107" s="29" t="str">
        <x:v>調布市</x:v>
      </x:c>
      <x:c r="E107" s="29" t="str">
        <x:v>ミニバス</x:v>
      </x:c>
      <x:c r="F107" s="29" t="str">
        <x:v>東路線</x:v>
      </x:c>
      <x:c r="G107" s="29" t="str">
        <x:v>現金／大人210円・小児110円 IC／大人210円・小児105円</x:v>
      </x:c>
      <x:c r="H107" s="29" t="str">
        <x:v>小田急バス</x:v>
      </x:c>
      <x:c r="I107" s="29" t="str">
        <x:v>対象</x:v>
      </x:c>
      <x:c r="J107" s="29" t="n">
        <x:v>106</x:v>
      </x:c>
      <x:c r="K107" s="34" t="str">
        <x:v>https://www.toshiseibi1.metro.tokyo.lg.jp/bunyabetsu/kotsu_butsuryu/pdf/index_koutuu_01.xlsx</x:v>
      </x:c>
      <x:c r="L107" s="32" t="n">
        <x:v>46256</x:v>
      </x:c>
    </x:row>
    <x:row r="108" ht="40" customHeight="1">
      <x:c r="A108" s="29" t="str">
        <x:v>R105</x:v>
      </x:c>
      <x:c r="B108" s="29" t="str">
        <x:v>S038</x:v>
      </x:c>
      <x:c r="C108" s="29" t="str">
        <x:v>多摩市部</x:v>
      </x:c>
      <x:c r="D108" s="29" t="str">
        <x:v>調布市</x:v>
      </x:c>
      <x:c r="E108" s="29" t="str">
        <x:v>ミニバス</x:v>
      </x:c>
      <x:c r="F108" s="29" t="str">
        <x:v>北路線</x:v>
      </x:c>
      <x:c r="G108" s="29" t="str">
        <x:v>現金／大人210円・小児110円 IC／大人210円・小児105円</x:v>
      </x:c>
      <x:c r="H108" s="29" t="str">
        <x:v>京王バス</x:v>
      </x:c>
      <x:c r="I108" s="29" t="str">
        <x:v>対象</x:v>
      </x:c>
      <x:c r="J108" s="29" t="n">
        <x:v>107</x:v>
      </x:c>
      <x:c r="K108" s="34" t="str">
        <x:v>https://www.toshiseibi1.metro.tokyo.lg.jp/bunyabetsu/kotsu_butsuryu/pdf/index_koutuu_01.xlsx</x:v>
      </x:c>
      <x:c r="L108" s="32" t="n">
        <x:v>46256</x:v>
      </x:c>
    </x:row>
    <x:row r="109" ht="40" customHeight="1">
      <x:c r="A109" s="29" t="str">
        <x:v>R106</x:v>
      </x:c>
      <x:c r="B109" s="29" t="str">
        <x:v>S039</x:v>
      </x:c>
      <x:c r="C109" s="29" t="str">
        <x:v>多摩市部</x:v>
      </x:c>
      <x:c r="D109" s="29" t="str">
        <x:v>調布市</x:v>
      </x:c>
      <x:c r="E109" s="29" t="str">
        <x:v>のるーと調布</x:v>
      </x:c>
      <x:c r="F109" s="29" t="str">
        <x:v>深大寺北町・深大寺東町</x:v>
      </x:c>
      <x:c r="G109" s="29" t="str">
        <x:v>現金／大人300円・小児200円ほか</x:v>
      </x:c>
      <x:c r="H109" s="29" t="str">
        <x:v>京王自動車</x:v>
      </x:c>
      <x:c r="I109" s="29" t="str">
        <x:v>対象</x:v>
      </x:c>
      <x:c r="J109" s="29" t="n">
        <x:v>108</x:v>
      </x:c>
      <x:c r="K109" s="34" t="str">
        <x:v>https://www.toshiseibi1.metro.tokyo.lg.jp/bunyabetsu/kotsu_butsuryu/pdf/index_koutuu_01.xlsx</x:v>
      </x:c>
      <x:c r="L109" s="32" t="n">
        <x:v>46256</x:v>
      </x:c>
    </x:row>
    <x:row r="110" ht="40" customHeight="1">
      <x:c r="A110" s="29" t="str">
        <x:v>R107</x:v>
      </x:c>
      <x:c r="B110" s="29" t="str">
        <x:v>S040</x:v>
      </x:c>
      <x:c r="C110" s="29" t="str">
        <x:v>多摩市部</x:v>
      </x:c>
      <x:c r="D110" s="29" t="str">
        <x:v>町田市</x:v>
      </x:c>
      <x:c r="E110" s="29" t="str">
        <x:v>かわせみ号</x:v>
      </x:c>
      <x:c r="F110" s="29" t="str">
        <x:v>成瀬駅ルート</x:v>
      </x:c>
      <x:c r="G110" s="29" t="str">
        <x:v>大人210円、小児110円、障害者手帳所持者110円（現金） 大人210円、小児50円、障害者手帳所持者105円（ＩＣ） 70歳以上100円（現金のみ）</x:v>
      </x:c>
      <x:c r="H110" s="29" t="str">
        <x:v>神奈中タクシー</x:v>
      </x:c>
      <x:c r="I110" s="29" t="str">
        <x:v>対象</x:v>
      </x:c>
      <x:c r="J110" s="29" t="n">
        <x:v>109</x:v>
      </x:c>
      <x:c r="K110" s="34" t="str">
        <x:v>https://www.toshiseibi1.metro.tokyo.lg.jp/bunyabetsu/kotsu_butsuryu/pdf/index_koutuu_01.xlsx</x:v>
      </x:c>
      <x:c r="L110" s="32" t="n">
        <x:v>46256</x:v>
      </x:c>
    </x:row>
    <x:row r="111" ht="40" customHeight="1">
      <x:c r="A111" s="29" t="str">
        <x:v>R108</x:v>
      </x:c>
      <x:c r="B111" s="29" t="str">
        <x:v>S041</x:v>
      </x:c>
      <x:c r="C111" s="29" t="str">
        <x:v>多摩市部</x:v>
      </x:c>
      <x:c r="D111" s="29" t="str">
        <x:v>町田市</x:v>
      </x:c>
      <x:c r="E111" s="29" t="str">
        <x:v>玉ちゃんバス</x:v>
      </x:c>
      <x:c r="F111" s="29" t="str">
        <x:v>北ルート</x:v>
      </x:c>
      <x:c r="G111" s="29" t="str">
        <x:v>大人210円、小児110円、障害者手帳所持者110円（現金） 大人210円、小児105円（※）、障害者手帳所持者105円（ＩＣ）※令和6年5月1日より小児IC運賃50円（予定）</x:v>
      </x:c>
      <x:c r="H111" s="29" t="str">
        <x:v>小田急バス</x:v>
      </x:c>
      <x:c r="I111" s="29" t="str">
        <x:v>対象</x:v>
      </x:c>
      <x:c r="J111" s="29" t="n">
        <x:v>110</x:v>
      </x:c>
      <x:c r="K111" s="34" t="str">
        <x:v>https://www.toshiseibi1.metro.tokyo.lg.jp/bunyabetsu/kotsu_butsuryu/pdf/index_koutuu_01.xlsx</x:v>
      </x:c>
      <x:c r="L111" s="32" t="n">
        <x:v>46256</x:v>
      </x:c>
    </x:row>
    <x:row r="112" ht="40" customHeight="1">
      <x:c r="A112" s="29" t="str">
        <x:v>R109</x:v>
      </x:c>
      <x:c r="B112" s="29" t="str">
        <x:v>S041</x:v>
      </x:c>
      <x:c r="C112" s="29" t="str">
        <x:v>多摩市部</x:v>
      </x:c>
      <x:c r="D112" s="29" t="str">
        <x:v>町田市</x:v>
      </x:c>
      <x:c r="E112" s="29" t="str">
        <x:v>玉ちゃんバス</x:v>
      </x:c>
      <x:c r="F112" s="29" t="str">
        <x:v>東ルート</x:v>
      </x:c>
      <x:c r="G112" s="29" t="str">
        <x:v>大人210円、小児110円、障害者手帳所持者110円（現金） 大人210円、小児105円（※）、障害者手帳所持者105円（ＩＣ）※令和6年5月1日より小児IC運賃50円（予定）</x:v>
      </x:c>
      <x:c r="H112" s="29" t="str">
        <x:v>小田急バス</x:v>
      </x:c>
      <x:c r="I112" s="29" t="str">
        <x:v>対象</x:v>
      </x:c>
      <x:c r="J112" s="29" t="n">
        <x:v>111</x:v>
      </x:c>
      <x:c r="K112" s="34" t="str">
        <x:v>https://www.toshiseibi1.metro.tokyo.lg.jp/bunyabetsu/kotsu_butsuryu/pdf/index_koutuu_01.xlsx</x:v>
      </x:c>
      <x:c r="L112" s="32" t="n">
        <x:v>46256</x:v>
      </x:c>
    </x:row>
    <x:row r="113" ht="40" customHeight="1">
      <x:c r="A113" s="29" t="str">
        <x:v>R110</x:v>
      </x:c>
      <x:c r="B113" s="29" t="str">
        <x:v>S041</x:v>
      </x:c>
      <x:c r="C113" s="29" t="str">
        <x:v>多摩市部</x:v>
      </x:c>
      <x:c r="D113" s="29" t="str">
        <x:v>町田市</x:v>
      </x:c>
      <x:c r="E113" s="29" t="str">
        <x:v>玉ちゃんバス</x:v>
      </x:c>
      <x:c r="F113" s="29" t="str">
        <x:v>南ルート</x:v>
      </x:c>
      <x:c r="G113" s="29" t="str">
        <x:v>大人210円、小児110円、障害者手帳所持者110円（現金） 大人210円、小児105円（※）、障害者手帳所持者105円（ＩＣ）※令和6年5月1日より小児IC運賃50円（予定）</x:v>
      </x:c>
      <x:c r="H113" s="29" t="str">
        <x:v>小田急バス</x:v>
      </x:c>
      <x:c r="I113" s="29" t="str">
        <x:v>対象</x:v>
      </x:c>
      <x:c r="J113" s="29" t="n">
        <x:v>112</x:v>
      </x:c>
      <x:c r="K113" s="34" t="str">
        <x:v>https://www.toshiseibi1.metro.tokyo.lg.jp/bunyabetsu/kotsu_butsuryu/pdf/index_koutuu_01.xlsx</x:v>
      </x:c>
      <x:c r="L113" s="32" t="n">
        <x:v>46256</x:v>
      </x:c>
    </x:row>
    <x:row r="114" ht="40" customHeight="1">
      <x:c r="A114" s="29" t="str">
        <x:v>R111</x:v>
      </x:c>
      <x:c r="B114" s="29" t="str">
        <x:v>S042</x:v>
      </x:c>
      <x:c r="C114" s="29" t="str">
        <x:v>多摩市部</x:v>
      </x:c>
      <x:c r="D114" s="29" t="str">
        <x:v>町田市</x:v>
      </x:c>
      <x:c r="E114" s="29" t="str">
        <x:v>市民バス まちっこ</x:v>
      </x:c>
      <x:c r="F114" s="29" t="str">
        <x:v>公共施設巡回ルート</x:v>
      </x:c>
      <x:c r="G114" s="29" t="str">
        <x:v>100円</x:v>
      </x:c>
      <x:c r="H114" s="29" t="str">
        <x:v>神奈川中央交通</x:v>
      </x:c>
      <x:c r="I114" s="29" t="str">
        <x:v>対象</x:v>
      </x:c>
      <x:c r="J114" s="29" t="n">
        <x:v>113</x:v>
      </x:c>
      <x:c r="K114" s="34" t="str">
        <x:v>https://www.toshiseibi1.metro.tokyo.lg.jp/bunyabetsu/kotsu_butsuryu/pdf/index_koutuu_01.xlsx</x:v>
      </x:c>
      <x:c r="L114" s="32" t="n">
        <x:v>46256</x:v>
      </x:c>
    </x:row>
    <x:row r="115" ht="40" customHeight="1">
      <x:c r="A115" s="29" t="str">
        <x:v>R112</x:v>
      </x:c>
      <x:c r="B115" s="29" t="str">
        <x:v>S042</x:v>
      </x:c>
      <x:c r="C115" s="29" t="str">
        <x:v>多摩市部</x:v>
      </x:c>
      <x:c r="D115" s="29" t="str">
        <x:v>町田市</x:v>
      </x:c>
      <x:c r="E115" s="29" t="str">
        <x:v>市民バス まちっこ</x:v>
      </x:c>
      <x:c r="F115" s="29" t="str">
        <x:v>相原ルート</x:v>
      </x:c>
      <x:c r="G115" s="29" t="str">
        <x:v>100円～300円</x:v>
      </x:c>
      <x:c r="H115" s="29" t="str">
        <x:v>神奈川中央交通</x:v>
      </x:c>
      <x:c r="I115" s="29" t="str">
        <x:v>対象</x:v>
      </x:c>
      <x:c r="J115" s="29" t="n">
        <x:v>114</x:v>
      </x:c>
      <x:c r="K115" s="34" t="str">
        <x:v>https://www.toshiseibi1.metro.tokyo.lg.jp/bunyabetsu/kotsu_butsuryu/pdf/index_koutuu_01.xlsx</x:v>
      </x:c>
      <x:c r="L115" s="32" t="n">
        <x:v>46256</x:v>
      </x:c>
    </x:row>
    <x:row r="116" ht="40" customHeight="1">
      <x:c r="A116" s="29" t="str">
        <x:v>R113</x:v>
      </x:c>
      <x:c r="B116" s="29" t="str">
        <x:v>S043</x:v>
      </x:c>
      <x:c r="C116" s="29" t="str">
        <x:v>多摩市部</x:v>
      </x:c>
      <x:c r="D116" s="29" t="str">
        <x:v>町田市</x:v>
      </x:c>
      <x:c r="E116" s="29" t="str">
        <x:v>小山田桜台・多摩南部地域病院間バス</x:v>
      </x:c>
      <x:c r="F116" s="29" t="str">
        <x:v>小山田桜台・多摩南部地域病院間</x:v>
      </x:c>
      <x:c r="G116" s="29" t="str">
        <x:v>【運賃210円区間】 大人210円（障がい者割引適用110円）、小児110円（障がい者割引適用60円）（現金） 大人210円（障がい者割引適用110円）、小児50円（障がい者割引適用25円）（ＩＣ） 【運賃300円区間】 大人300円（障がい者割引適用150円）、小児150円（障がい者割引適用80円）（現金） 大人300円（障がい者割引適用150円）、小児50円（障がい者割引適用25円）（ＩＣ）</x:v>
      </x:c>
      <x:c r="H116" s="29" t="str">
        <x:v>神奈川中央交通</x:v>
      </x:c>
      <x:c r="I116" s="29" t="str">
        <x:v>対象</x:v>
      </x:c>
      <x:c r="J116" s="29" t="n">
        <x:v>115</x:v>
      </x:c>
      <x:c r="K116" s="34" t="str">
        <x:v>https://www.toshiseibi1.metro.tokyo.lg.jp/bunyabetsu/kotsu_butsuryu/pdf/index_koutuu_01.xlsx</x:v>
      </x:c>
      <x:c r="L116" s="32" t="n">
        <x:v>46256</x:v>
      </x:c>
    </x:row>
    <x:row r="117" ht="40" customHeight="1">
      <x:c r="A117" s="29" t="str">
        <x:v>R114</x:v>
      </x:c>
      <x:c r="B117" s="29" t="str">
        <x:v>S044</x:v>
      </x:c>
      <x:c r="C117" s="29" t="str">
        <x:v>多摩市部</x:v>
      </x:c>
      <x:c r="D117" s="29" t="str">
        <x:v>小金井市</x:v>
      </x:c>
      <x:c r="E117" s="29" t="str">
        <x:v>ＣｏＣｏバス</x:v>
      </x:c>
      <x:c r="F117" s="29" t="str">
        <x:v>北東部循環</x:v>
      </x:c>
      <x:c r="G117" s="29" t="str">
        <x:v>現金：大人180円・小人90円 IC：大人178円・小人89円 ※障がい者は半額 65歳以上：100円</x:v>
      </x:c>
      <x:c r="H117" s="29" t="str">
        <x:v>京王バス</x:v>
      </x:c>
      <x:c r="I117" s="29" t="str">
        <x:v>対象</x:v>
      </x:c>
      <x:c r="J117" s="29" t="n">
        <x:v>116</x:v>
      </x:c>
      <x:c r="K117" s="34" t="str">
        <x:v>https://www.toshiseibi1.metro.tokyo.lg.jp/bunyabetsu/kotsu_butsuryu/pdf/index_koutuu_01.xlsx</x:v>
      </x:c>
      <x:c r="L117" s="32" t="n">
        <x:v>46256</x:v>
      </x:c>
    </x:row>
    <x:row r="118" ht="40" customHeight="1">
      <x:c r="A118" s="29" t="str">
        <x:v>R115</x:v>
      </x:c>
      <x:c r="B118" s="29" t="str">
        <x:v>S044</x:v>
      </x:c>
      <x:c r="C118" s="29" t="str">
        <x:v>多摩市部</x:v>
      </x:c>
      <x:c r="D118" s="29" t="str">
        <x:v>小金井市</x:v>
      </x:c>
      <x:c r="E118" s="29" t="str">
        <x:v>ＣｏＣｏバス</x:v>
      </x:c>
      <x:c r="F118" s="29" t="str">
        <x:v>貫井前原循環</x:v>
      </x:c>
      <x:c r="G118" s="29" t="str">
        <x:v>現金：大人180円・小人90円 IC：大人178円・小人89円 ※障がい者は半額 65歳以上：100円</x:v>
      </x:c>
      <x:c r="H118" s="29" t="str">
        <x:v>京王バス</x:v>
      </x:c>
      <x:c r="I118" s="29" t="str">
        <x:v>対象</x:v>
      </x:c>
      <x:c r="J118" s="29" t="n">
        <x:v>117</x:v>
      </x:c>
      <x:c r="K118" s="34" t="str">
        <x:v>https://www.toshiseibi1.metro.tokyo.lg.jp/bunyabetsu/kotsu_butsuryu/pdf/index_koutuu_01.xlsx</x:v>
      </x:c>
      <x:c r="L118" s="32" t="n">
        <x:v>46256</x:v>
      </x:c>
    </x:row>
    <x:row r="119" ht="40" customHeight="1">
      <x:c r="A119" s="29" t="str">
        <x:v>R116</x:v>
      </x:c>
      <x:c r="B119" s="29" t="str">
        <x:v>S044</x:v>
      </x:c>
      <x:c r="C119" s="29" t="str">
        <x:v>多摩市部</x:v>
      </x:c>
      <x:c r="D119" s="29" t="str">
        <x:v>小金井市</x:v>
      </x:c>
      <x:c r="E119" s="29" t="str">
        <x:v>ＣｏＣｏバス</x:v>
      </x:c>
      <x:c r="F119" s="29" t="str">
        <x:v>東町循環</x:v>
      </x:c>
      <x:c r="G119" s="29" t="str">
        <x:v>現金：大人180円・小人90円 IC：大人178円・小人89円 ※障がい者は半額 65歳以上：100円</x:v>
      </x:c>
      <x:c r="H119" s="29" t="str">
        <x:v>京王バス</x:v>
      </x:c>
      <x:c r="I119" s="29" t="str">
        <x:v>対象</x:v>
      </x:c>
      <x:c r="J119" s="29" t="n">
        <x:v>118</x:v>
      </x:c>
      <x:c r="K119" s="34" t="str">
        <x:v>https://www.toshiseibi1.metro.tokyo.lg.jp/bunyabetsu/kotsu_butsuryu/pdf/index_koutuu_01.xlsx</x:v>
      </x:c>
      <x:c r="L119" s="32" t="n">
        <x:v>46256</x:v>
      </x:c>
    </x:row>
    <x:row r="120" ht="40" customHeight="1">
      <x:c r="A120" s="29" t="str">
        <x:v>R117</x:v>
      </x:c>
      <x:c r="B120" s="29" t="str">
        <x:v>S044</x:v>
      </x:c>
      <x:c r="C120" s="29" t="str">
        <x:v>多摩市部</x:v>
      </x:c>
      <x:c r="D120" s="29" t="str">
        <x:v>小金井市</x:v>
      </x:c>
      <x:c r="E120" s="29" t="str">
        <x:v>ＣｏＣｏバス</x:v>
      </x:c>
      <x:c r="F120" s="29" t="str">
        <x:v>中町循環</x:v>
      </x:c>
      <x:c r="G120" s="29" t="str">
        <x:v>現金：大人180円・小人90円 IC：大人178円・小人89円 ※障がい者は半額 65歳以上：100円</x:v>
      </x:c>
      <x:c r="H120" s="29" t="str">
        <x:v>京王バス</x:v>
      </x:c>
      <x:c r="I120" s="29" t="str">
        <x:v>対象</x:v>
      </x:c>
      <x:c r="J120" s="29" t="n">
        <x:v>119</x:v>
      </x:c>
      <x:c r="K120" s="34" t="str">
        <x:v>https://www.toshiseibi1.metro.tokyo.lg.jp/bunyabetsu/kotsu_butsuryu/pdf/index_koutuu_01.xlsx</x:v>
      </x:c>
      <x:c r="L120" s="32" t="n">
        <x:v>46256</x:v>
      </x:c>
    </x:row>
    <x:row r="121" ht="40" customHeight="1">
      <x:c r="A121" s="29" t="str">
        <x:v>R118</x:v>
      </x:c>
      <x:c r="B121" s="29" t="str">
        <x:v>S044</x:v>
      </x:c>
      <x:c r="C121" s="29" t="str">
        <x:v>多摩市部</x:v>
      </x:c>
      <x:c r="D121" s="29" t="str">
        <x:v>小金井市</x:v>
      </x:c>
      <x:c r="E121" s="29" t="str">
        <x:v>ＣｏＣｏバス</x:v>
      </x:c>
      <x:c r="F121" s="29" t="str">
        <x:v>野川・七軒家循環</x:v>
      </x:c>
      <x:c r="G121" s="29" t="str">
        <x:v>現金：大人180円・小人90円 ※障がい者は半額 65歳以上：100円</x:v>
      </x:c>
      <x:c r="H121" s="29" t="str">
        <x:v>つくば観光交通</x:v>
      </x:c>
      <x:c r="I121" s="29" t="str">
        <x:v>対象</x:v>
      </x:c>
      <x:c r="J121" s="29" t="n">
        <x:v>120</x:v>
      </x:c>
      <x:c r="K121" s="34" t="str">
        <x:v>https://www.toshiseibi1.metro.tokyo.lg.jp/bunyabetsu/kotsu_butsuryu/pdf/index_koutuu_01.xlsx</x:v>
      </x:c>
      <x:c r="L121" s="32" t="n">
        <x:v>46256</x:v>
      </x:c>
    </x:row>
    <x:row r="122" ht="40" customHeight="1">
      <x:c r="A122" s="29" t="str">
        <x:v>R119</x:v>
      </x:c>
      <x:c r="B122" s="29" t="str">
        <x:v>S045</x:v>
      </x:c>
      <x:c r="C122" s="29" t="str">
        <x:v>多摩市部</x:v>
      </x:c>
      <x:c r="D122" s="29" t="str">
        <x:v>小平市</x:v>
      </x:c>
      <x:c r="E122" s="29" t="str">
        <x:v>にじバス</x:v>
      </x:c>
      <x:c r="F122" s="29" t="str">
        <x:v>小平駅南口～一橋学園駅～中央公民館～津田公民館・図書館循環</x:v>
      </x:c>
      <x:c r="G122" s="29" t="str">
        <x:v>大人150円・小人80円</x:v>
      </x:c>
      <x:c r="H122" s="29" t="str">
        <x:v>西武バス</x:v>
      </x:c>
      <x:c r="I122" s="29" t="str">
        <x:v>対象</x:v>
      </x:c>
      <x:c r="J122" s="29" t="n">
        <x:v>121</x:v>
      </x:c>
      <x:c r="K122" s="34" t="str">
        <x:v>https://www.toshiseibi1.metro.tokyo.lg.jp/bunyabetsu/kotsu_butsuryu/pdf/index_koutuu_01.xlsx</x:v>
      </x:c>
      <x:c r="L122" s="32" t="n">
        <x:v>46256</x:v>
      </x:c>
    </x:row>
    <x:row r="123" ht="40" customHeight="1">
      <x:c r="A123" s="29" t="str">
        <x:v>R120</x:v>
      </x:c>
      <x:c r="B123" s="29" t="str">
        <x:v>S046</x:v>
      </x:c>
      <x:c r="C123" s="29" t="str">
        <x:v>多摩市部</x:v>
      </x:c>
      <x:c r="D123" s="29" t="str">
        <x:v>小平市</x:v>
      </x:c>
      <x:c r="E123" s="29" t="str">
        <x:v>ぶるべー号</x:v>
      </x:c>
      <x:c r="F123" s="29" t="str">
        <x:v>大沼ルート</x:v>
      </x:c>
      <x:c r="G123" s="29" t="str">
        <x:v>大人150円・小人80円</x:v>
      </x:c>
      <x:c r="H123" s="29" t="str">
        <x:v>トーショー交通</x:v>
      </x:c>
      <x:c r="I123" s="29" t="str">
        <x:v>対象</x:v>
      </x:c>
      <x:c r="J123" s="29" t="n">
        <x:v>122</x:v>
      </x:c>
      <x:c r="K123" s="34" t="str">
        <x:v>https://www.toshiseibi1.metro.tokyo.lg.jp/bunyabetsu/kotsu_butsuryu/pdf/index_koutuu_01.xlsx</x:v>
      </x:c>
      <x:c r="L123" s="32" t="n">
        <x:v>46256</x:v>
      </x:c>
    </x:row>
    <x:row r="124" ht="40" customHeight="1">
      <x:c r="A124" s="29" t="str">
        <x:v>R121</x:v>
      </x:c>
      <x:c r="B124" s="29" t="str">
        <x:v>S046</x:v>
      </x:c>
      <x:c r="C124" s="29" t="str">
        <x:v>多摩市部</x:v>
      </x:c>
      <x:c r="D124" s="29" t="str">
        <x:v>小平市</x:v>
      </x:c>
      <x:c r="E124" s="29" t="str">
        <x:v>ぶるべー号</x:v>
      </x:c>
      <x:c r="F124" s="29" t="str">
        <x:v>栄町ルート</x:v>
      </x:c>
      <x:c r="G124" s="29" t="str">
        <x:v>大人150円・小人80円</x:v>
      </x:c>
      <x:c r="H124" s="29" t="str">
        <x:v>小平交通</x:v>
      </x:c>
      <x:c r="I124" s="29" t="str">
        <x:v>対象</x:v>
      </x:c>
      <x:c r="J124" s="29" t="n">
        <x:v>123</x:v>
      </x:c>
      <x:c r="K124" s="34" t="str">
        <x:v>https://www.toshiseibi1.metro.tokyo.lg.jp/bunyabetsu/kotsu_butsuryu/pdf/index_koutuu_01.xlsx</x:v>
      </x:c>
      <x:c r="L124" s="32" t="n">
        <x:v>46256</x:v>
      </x:c>
    </x:row>
    <x:row r="125" ht="40" customHeight="1">
      <x:c r="A125" s="29" t="str">
        <x:v>R122</x:v>
      </x:c>
      <x:c r="B125" s="29" t="str">
        <x:v>S046</x:v>
      </x:c>
      <x:c r="C125" s="29" t="str">
        <x:v>多摩市部</x:v>
      </x:c>
      <x:c r="D125" s="29" t="str">
        <x:v>小平市</x:v>
      </x:c>
      <x:c r="E125" s="29" t="str">
        <x:v>ぶるべー号</x:v>
      </x:c>
      <x:c r="F125" s="29" t="str">
        <x:v>鈴木町ルート</x:v>
      </x:c>
      <x:c r="G125" s="29" t="str">
        <x:v>大人150円・小人80円</x:v>
      </x:c>
      <x:c r="H125" s="29" t="str">
        <x:v>トーショー交通</x:v>
      </x:c>
      <x:c r="I125" s="29" t="str">
        <x:v>対象</x:v>
      </x:c>
      <x:c r="J125" s="29" t="n">
        <x:v>124</x:v>
      </x:c>
      <x:c r="K125" s="34" t="str">
        <x:v>https://www.toshiseibi1.metro.tokyo.lg.jp/bunyabetsu/kotsu_butsuryu/pdf/index_koutuu_01.xlsx</x:v>
      </x:c>
      <x:c r="L125" s="32" t="n">
        <x:v>46256</x:v>
      </x:c>
    </x:row>
    <x:row r="126" ht="40" customHeight="1">
      <x:c r="A126" s="29" t="str">
        <x:v>R123</x:v>
      </x:c>
      <x:c r="B126" s="29" t="str">
        <x:v>S047</x:v>
      </x:c>
      <x:c r="C126" s="29" t="str">
        <x:v>多摩市部</x:v>
      </x:c>
      <x:c r="D126" s="29" t="str">
        <x:v>日野市</x:v>
      </x:c>
      <x:c r="E126" s="29" t="str">
        <x:v>日野市ミニバス</x:v>
      </x:c>
      <x:c r="F126" s="29" t="str">
        <x:v>市内路線</x:v>
      </x:c>
      <x:c r="G126" s="29" t="str">
        <x:v>京王バス料金に準ずる（対距離制)</x:v>
      </x:c>
      <x:c r="H126" s="29" t="str">
        <x:v>京王バス</x:v>
      </x:c>
      <x:c r="I126" s="29" t="str">
        <x:v>対象</x:v>
      </x:c>
      <x:c r="J126" s="29" t="n">
        <x:v>125</x:v>
      </x:c>
      <x:c r="K126" s="34" t="str">
        <x:v>https://www.toshiseibi1.metro.tokyo.lg.jp/bunyabetsu/kotsu_butsuryu/pdf/index_koutuu_01.xlsx</x:v>
      </x:c>
      <x:c r="L126" s="32" t="n">
        <x:v>46256</x:v>
      </x:c>
    </x:row>
    <x:row r="127" ht="40" customHeight="1">
      <x:c r="A127" s="29" t="str">
        <x:v>R124</x:v>
      </x:c>
      <x:c r="B127" s="29" t="str">
        <x:v>S047</x:v>
      </x:c>
      <x:c r="C127" s="29" t="str">
        <x:v>多摩市部</x:v>
      </x:c>
      <x:c r="D127" s="29" t="str">
        <x:v>日野市</x:v>
      </x:c>
      <x:c r="E127" s="29" t="str">
        <x:v>日野市ミニバス</x:v>
      </x:c>
      <x:c r="F127" s="29" t="str">
        <x:v>旭が丘循環路線</x:v>
      </x:c>
      <x:c r="G127" s="29" t="str">
        <x:v>京王バス料金に準ずる（対距離制)</x:v>
      </x:c>
      <x:c r="H127" s="29" t="str">
        <x:v>京王バス</x:v>
      </x:c>
      <x:c r="I127" s="29" t="str">
        <x:v>対象</x:v>
      </x:c>
      <x:c r="J127" s="29" t="n">
        <x:v>126</x:v>
      </x:c>
      <x:c r="K127" s="34" t="str">
        <x:v>https://www.toshiseibi1.metro.tokyo.lg.jp/bunyabetsu/kotsu_butsuryu/pdf/index_koutuu_01.xlsx</x:v>
      </x:c>
      <x:c r="L127" s="32" t="n">
        <x:v>46256</x:v>
      </x:c>
    </x:row>
    <x:row r="128" ht="40" customHeight="1">
      <x:c r="A128" s="29" t="str">
        <x:v>R125</x:v>
      </x:c>
      <x:c r="B128" s="29" t="str">
        <x:v>S047</x:v>
      </x:c>
      <x:c r="C128" s="29" t="str">
        <x:v>多摩市部</x:v>
      </x:c>
      <x:c r="D128" s="29" t="str">
        <x:v>日野市</x:v>
      </x:c>
      <x:c r="E128" s="29" t="str">
        <x:v>日野市ミニバス</x:v>
      </x:c>
      <x:c r="F128" s="29" t="str">
        <x:v>南平路線</x:v>
      </x:c>
      <x:c r="G128" s="29" t="str">
        <x:v>京王バス料金に準ずる（対距離制)</x:v>
      </x:c>
      <x:c r="H128" s="29" t="str">
        <x:v>京王電鉄バス</x:v>
      </x:c>
      <x:c r="I128" s="29" t="str">
        <x:v>対象</x:v>
      </x:c>
      <x:c r="J128" s="29" t="n">
        <x:v>127</x:v>
      </x:c>
      <x:c r="K128" s="34" t="str">
        <x:v>https://www.toshiseibi1.metro.tokyo.lg.jp/bunyabetsu/kotsu_butsuryu/pdf/index_koutuu_01.xlsx</x:v>
      </x:c>
      <x:c r="L128" s="32" t="n">
        <x:v>46256</x:v>
      </x:c>
    </x:row>
    <x:row r="129" ht="40" customHeight="1">
      <x:c r="A129" s="29" t="str">
        <x:v>R126</x:v>
      </x:c>
      <x:c r="B129" s="29" t="str">
        <x:v>S047</x:v>
      </x:c>
      <x:c r="C129" s="29" t="str">
        <x:v>多摩市部</x:v>
      </x:c>
      <x:c r="D129" s="29" t="str">
        <x:v>日野市</x:v>
      </x:c>
      <x:c r="E129" s="29" t="str">
        <x:v>日野市ミニバス</x:v>
      </x:c>
      <x:c r="F129" s="29" t="str">
        <x:v>三沢台路線</x:v>
      </x:c>
      <x:c r="G129" s="29" t="str">
        <x:v>京王バス料金に準ずる（対距離制)</x:v>
      </x:c>
      <x:c r="H129" s="29" t="str">
        <x:v>京王電鉄バス</x:v>
      </x:c>
      <x:c r="I129" s="29" t="str">
        <x:v>対象</x:v>
      </x:c>
      <x:c r="J129" s="29" t="n">
        <x:v>128</x:v>
      </x:c>
      <x:c r="K129" s="34" t="str">
        <x:v>https://www.toshiseibi1.metro.tokyo.lg.jp/bunyabetsu/kotsu_butsuryu/pdf/index_koutuu_01.xlsx</x:v>
      </x:c>
      <x:c r="L129" s="32" t="n">
        <x:v>46256</x:v>
      </x:c>
    </x:row>
    <x:row r="130" ht="40" customHeight="1">
      <x:c r="A130" s="29" t="str">
        <x:v>R127</x:v>
      </x:c>
      <x:c r="B130" s="29" t="str">
        <x:v>S047</x:v>
      </x:c>
      <x:c r="C130" s="29" t="str">
        <x:v>多摩市部</x:v>
      </x:c>
      <x:c r="D130" s="29" t="str">
        <x:v>日野市</x:v>
      </x:c>
      <x:c r="E130" s="29" t="str">
        <x:v>日野市ミニバス</x:v>
      </x:c>
      <x:c r="F130" s="29" t="str">
        <x:v>平山循環路線</x:v>
      </x:c>
      <x:c r="G130" s="29" t="str">
        <x:v>京王バス料金に準ずる（対距離制)</x:v>
      </x:c>
      <x:c r="H130" s="29" t="str">
        <x:v>京王バス</x:v>
      </x:c>
      <x:c r="I130" s="29" t="str">
        <x:v>対象</x:v>
      </x:c>
      <x:c r="J130" s="29" t="n">
        <x:v>129</x:v>
      </x:c>
      <x:c r="K130" s="34" t="str">
        <x:v>https://www.toshiseibi1.metro.tokyo.lg.jp/bunyabetsu/kotsu_butsuryu/pdf/index_koutuu_01.xlsx</x:v>
      </x:c>
      <x:c r="L130" s="32" t="n">
        <x:v>46256</x:v>
      </x:c>
    </x:row>
    <x:row r="131" ht="40" customHeight="1">
      <x:c r="A131" s="29" t="str">
        <x:v>R128</x:v>
      </x:c>
      <x:c r="B131" s="29" t="str">
        <x:v>S047</x:v>
      </x:c>
      <x:c r="C131" s="29" t="str">
        <x:v>多摩市部</x:v>
      </x:c>
      <x:c r="D131" s="29" t="str">
        <x:v>日野市</x:v>
      </x:c>
      <x:c r="E131" s="29" t="str">
        <x:v>日野市ミニバス</x:v>
      </x:c>
      <x:c r="F131" s="29" t="str">
        <x:v>落川路線</x:v>
      </x:c>
      <x:c r="G131" s="29" t="str">
        <x:v>京王バス料金に準ずる（対距離制)</x:v>
      </x:c>
      <x:c r="H131" s="29" t="str">
        <x:v>京王バス</x:v>
      </x:c>
      <x:c r="I131" s="29" t="str">
        <x:v>対象</x:v>
      </x:c>
      <x:c r="J131" s="29" t="n">
        <x:v>130</x:v>
      </x:c>
      <x:c r="K131" s="34" t="str">
        <x:v>https://www.toshiseibi1.metro.tokyo.lg.jp/bunyabetsu/kotsu_butsuryu/pdf/index_koutuu_01.xlsx</x:v>
      </x:c>
      <x:c r="L131" s="32" t="n">
        <x:v>46256</x:v>
      </x:c>
    </x:row>
    <x:row r="132" ht="40" customHeight="1">
      <x:c r="A132" s="29" t="str">
        <x:v>R129</x:v>
      </x:c>
      <x:c r="B132" s="29" t="str">
        <x:v>S047</x:v>
      </x:c>
      <x:c r="C132" s="29" t="str">
        <x:v>多摩市部</x:v>
      </x:c>
      <x:c r="D132" s="29" t="str">
        <x:v>日野市</x:v>
      </x:c>
      <x:c r="E132" s="29" t="str">
        <x:v>日野市ミニバス</x:v>
      </x:c>
      <x:c r="F132" s="29" t="str">
        <x:v>川辺堀之内路線</x:v>
      </x:c>
      <x:c r="G132" s="29" t="str">
        <x:v>京王バス料金に準ずる（対距離制)</x:v>
      </x:c>
      <x:c r="H132" s="29" t="str">
        <x:v>京王電鉄バス</x:v>
      </x:c>
      <x:c r="I132" s="29" t="str">
        <x:v>対象</x:v>
      </x:c>
      <x:c r="J132" s="29" t="n">
        <x:v>131</x:v>
      </x:c>
      <x:c r="K132" s="34" t="str">
        <x:v>https://www.toshiseibi1.metro.tokyo.lg.jp/bunyabetsu/kotsu_butsuryu/pdf/index_koutuu_01.xlsx</x:v>
      </x:c>
      <x:c r="L132" s="32" t="n">
        <x:v>46256</x:v>
      </x:c>
    </x:row>
    <x:row r="133" ht="40" customHeight="1">
      <x:c r="A133" s="29" t="str">
        <x:v>R130</x:v>
      </x:c>
      <x:c r="B133" s="29" t="str">
        <x:v>S048</x:v>
      </x:c>
      <x:c r="C133" s="29" t="str">
        <x:v>多摩市部</x:v>
      </x:c>
      <x:c r="D133" s="29" t="str">
        <x:v>日野市</x:v>
      </x:c>
      <x:c r="E133" s="29" t="str">
        <x:v>丘陵地ワゴンタクシー かわせみゴー</x:v>
      </x:c>
      <x:c r="F133" s="29" t="str">
        <x:v>明星ルート</x:v>
      </x:c>
      <x:c r="G133" s="29" t="str">
        <x:v>大人200円 小児100円</x:v>
      </x:c>
      <x:c r="H133" s="29" t="str">
        <x:v>南観光交通</x:v>
      </x:c>
      <x:c r="I133" s="29" t="str">
        <x:v>対象</x:v>
      </x:c>
      <x:c r="J133" s="29" t="n">
        <x:v>132</x:v>
      </x:c>
      <x:c r="K133" s="34" t="str">
        <x:v>https://www.toshiseibi1.metro.tokyo.lg.jp/bunyabetsu/kotsu_butsuryu/pdf/index_koutuu_01.xlsx</x:v>
      </x:c>
      <x:c r="L133" s="32" t="n">
        <x:v>46256</x:v>
      </x:c>
    </x:row>
    <x:row r="134" ht="40" customHeight="1">
      <x:c r="A134" s="29" t="str">
        <x:v>R131</x:v>
      </x:c>
      <x:c r="B134" s="29" t="str">
        <x:v>S048</x:v>
      </x:c>
      <x:c r="C134" s="29" t="str">
        <x:v>多摩市部</x:v>
      </x:c>
      <x:c r="D134" s="29" t="str">
        <x:v>日野市</x:v>
      </x:c>
      <x:c r="E134" s="29" t="str">
        <x:v>丘陵地ワゴンタクシー かわせみゴー</x:v>
      </x:c>
      <x:c r="F134" s="29" t="str">
        <x:v>平山ルート</x:v>
      </x:c>
      <x:c r="G134" s="29" t="str">
        <x:v>大人200円 小児100円</x:v>
      </x:c>
      <x:c r="H134" s="29" t="str">
        <x:v>南観光交通</x:v>
      </x:c>
      <x:c r="I134" s="29" t="str">
        <x:v>対象</x:v>
      </x:c>
      <x:c r="J134" s="29" t="n">
        <x:v>133</x:v>
      </x:c>
      <x:c r="K134" s="34" t="str">
        <x:v>https://www.toshiseibi1.metro.tokyo.lg.jp/bunyabetsu/kotsu_butsuryu/pdf/index_koutuu_01.xlsx</x:v>
      </x:c>
      <x:c r="L134" s="32" t="n">
        <x:v>46256</x:v>
      </x:c>
    </x:row>
    <x:row r="135" ht="40" customHeight="1">
      <x:c r="A135" s="29" t="str">
        <x:v>R132</x:v>
      </x:c>
      <x:c r="B135" s="29" t="str">
        <x:v>S049</x:v>
      </x:c>
      <x:c r="C135" s="29" t="str">
        <x:v>多摩市部</x:v>
      </x:c>
      <x:c r="D135" s="29" t="str">
        <x:v>東村山市</x:v>
      </x:c>
      <x:c r="E135" s="29" t="str">
        <x:v>グリーンバス</x:v>
      </x:c>
      <x:c r="F135" s="29" t="str">
        <x:v>東村山駅東口～多摩北部医療センター～新秋津駅</x:v>
      </x:c>
      <x:c r="G135" s="29" t="str">
        <x:v>現金：大人180円・小児 90円 ＩＣ：大人178円・小児 89円</x:v>
      </x:c>
      <x:c r="H135" s="29" t="str">
        <x:v>西武バス</x:v>
      </x:c>
      <x:c r="I135" s="29" t="str">
        <x:v>対象</x:v>
      </x:c>
      <x:c r="J135" s="29" t="n">
        <x:v>134</x:v>
      </x:c>
      <x:c r="K135" s="34" t="str">
        <x:v>https://www.toshiseibi1.metro.tokyo.lg.jp/bunyabetsu/kotsu_butsuryu/pdf/index_koutuu_01.xlsx</x:v>
      </x:c>
      <x:c r="L135" s="32" t="n">
        <x:v>46256</x:v>
      </x:c>
    </x:row>
    <x:row r="136" ht="40" customHeight="1">
      <x:c r="A136" s="29" t="str">
        <x:v>R133</x:v>
      </x:c>
      <x:c r="B136" s="29" t="str">
        <x:v>S049</x:v>
      </x:c>
      <x:c r="C136" s="29" t="str">
        <x:v>多摩市部</x:v>
      </x:c>
      <x:c r="D136" s="29" t="str">
        <x:v>東村山市</x:v>
      </x:c>
      <x:c r="E136" s="29" t="str">
        <x:v>グリーンバス</x:v>
      </x:c>
      <x:c r="F136" s="29" t="str">
        <x:v>久米川町循環</x:v>
      </x:c>
      <x:c r="G136" s="29" t="str">
        <x:v>現金：大人180円・小児 90円 ＩＣ：大人178円・小児 89円</x:v>
      </x:c>
      <x:c r="H136" s="29" t="str">
        <x:v>西武バス</x:v>
      </x:c>
      <x:c r="I136" s="29" t="str">
        <x:v>対象</x:v>
      </x:c>
      <x:c r="J136" s="29" t="n">
        <x:v>135</x:v>
      </x:c>
      <x:c r="K136" s="34" t="str">
        <x:v>https://www.toshiseibi1.metro.tokyo.lg.jp/bunyabetsu/kotsu_butsuryu/pdf/index_koutuu_01.xlsx</x:v>
      </x:c>
      <x:c r="L136" s="32" t="n">
        <x:v>46256</x:v>
      </x:c>
    </x:row>
    <x:row r="137" ht="40" customHeight="1">
      <x:c r="A137" s="29" t="str">
        <x:v>R134</x:v>
      </x:c>
      <x:c r="B137" s="29" t="str">
        <x:v>S049</x:v>
      </x:c>
      <x:c r="C137" s="29" t="str">
        <x:v>多摩市部</x:v>
      </x:c>
      <x:c r="D137" s="29" t="str">
        <x:v>東村山市</x:v>
      </x:c>
      <x:c r="E137" s="29" t="str">
        <x:v>グリーンバス</x:v>
      </x:c>
      <x:c r="F137" s="29" t="str">
        <x:v>諏訪町循環</x:v>
      </x:c>
      <x:c r="G137" s="29" t="str">
        <x:v>現金：大人180円・小児 90円 ＩＣ：大人178円・小児 89円</x:v>
      </x:c>
      <x:c r="H137" s="29" t="str">
        <x:v>西武バス</x:v>
      </x:c>
      <x:c r="I137" s="29" t="str">
        <x:v>対象</x:v>
      </x:c>
      <x:c r="J137" s="29" t="n">
        <x:v>136</x:v>
      </x:c>
      <x:c r="K137" s="34" t="str">
        <x:v>https://www.toshiseibi1.metro.tokyo.lg.jp/bunyabetsu/kotsu_butsuryu/pdf/index_koutuu_01.xlsx</x:v>
      </x:c>
      <x:c r="L137" s="32" t="n">
        <x:v>46256</x:v>
      </x:c>
    </x:row>
    <x:row r="138" ht="40" customHeight="1">
      <x:c r="A138" s="29" t="str">
        <x:v>R135</x:v>
      </x:c>
      <x:c r="B138" s="29" t="str">
        <x:v>S049</x:v>
      </x:c>
      <x:c r="C138" s="29" t="str">
        <x:v>多摩市部</x:v>
      </x:c>
      <x:c r="D138" s="29" t="str">
        <x:v>東村山市</x:v>
      </x:c>
      <x:c r="E138" s="29" t="str">
        <x:v>グリーンバス</x:v>
      </x:c>
      <x:c r="F138" s="29" t="str">
        <x:v>東村山駅西口～久米川駅南口</x:v>
      </x:c>
      <x:c r="G138" s="29" t="str">
        <x:v>現金：大人180円・小児 90円 ＩＣ：大人178円・小児 89円</x:v>
      </x:c>
      <x:c r="H138" s="29" t="str">
        <x:v>西武バス</x:v>
      </x:c>
      <x:c r="I138" s="29" t="str">
        <x:v>対象</x:v>
      </x:c>
      <x:c r="J138" s="29" t="n">
        <x:v>137</x:v>
      </x:c>
      <x:c r="K138" s="34" t="str">
        <x:v>https://www.toshiseibi1.metro.tokyo.lg.jp/bunyabetsu/kotsu_butsuryu/pdf/index_koutuu_01.xlsx</x:v>
      </x:c>
      <x:c r="L138" s="32" t="n">
        <x:v>46256</x:v>
      </x:c>
    </x:row>
    <x:row r="139" ht="40" customHeight="1">
      <x:c r="A139" s="29" t="str">
        <x:v>R136</x:v>
      </x:c>
      <x:c r="B139" s="29" t="str">
        <x:v>S050</x:v>
      </x:c>
      <x:c r="C139" s="29" t="str">
        <x:v>多摩市部</x:v>
      </x:c>
      <x:c r="D139" s="29" t="str">
        <x:v>国分寺市</x:v>
      </x:c>
      <x:c r="E139" s="29" t="str">
        <x:v>国分寺市地域バス （ぶんバス）</x:v>
      </x:c>
      <x:c r="F139" s="29" t="str">
        <x:v>日吉町ルート</x:v>
      </x:c>
      <x:c r="G139" s="29" t="str">
        <x:v>大人・小人 一回 100円 （未就学児無料）</x:v>
      </x:c>
      <x:c r="H139" s="29" t="str">
        <x:v>京王バス</x:v>
      </x:c>
      <x:c r="I139" s="29" t="str">
        <x:v>対象</x:v>
      </x:c>
      <x:c r="J139" s="29" t="n">
        <x:v>138</x:v>
      </x:c>
      <x:c r="K139" s="34" t="str">
        <x:v>https://www.toshiseibi1.metro.tokyo.lg.jp/bunyabetsu/kotsu_butsuryu/pdf/index_koutuu_01.xlsx</x:v>
      </x:c>
      <x:c r="L139" s="32" t="n">
        <x:v>46256</x:v>
      </x:c>
    </x:row>
    <x:row r="140" ht="40" customHeight="1">
      <x:c r="A140" s="29" t="str">
        <x:v>R137</x:v>
      </x:c>
      <x:c r="B140" s="29" t="str">
        <x:v>S050</x:v>
      </x:c>
      <x:c r="C140" s="29" t="str">
        <x:v>多摩市部</x:v>
      </x:c>
      <x:c r="D140" s="29" t="str">
        <x:v>国分寺市</x:v>
      </x:c>
      <x:c r="E140" s="29" t="str">
        <x:v>国分寺市地域バス （ぶんバス）</x:v>
      </x:c>
      <x:c r="F140" s="29" t="str">
        <x:v>東元町ルート</x:v>
      </x:c>
      <x:c r="G140" s="29" t="str">
        <x:v>大人・小人 一回 100円 （未就学児無料）</x:v>
      </x:c>
      <x:c r="H140" s="29" t="str">
        <x:v>京王バス</x:v>
      </x:c>
      <x:c r="I140" s="29" t="str">
        <x:v>対象</x:v>
      </x:c>
      <x:c r="J140" s="29" t="n">
        <x:v>139</x:v>
      </x:c>
      <x:c r="K140" s="34" t="str">
        <x:v>https://www.toshiseibi1.metro.tokyo.lg.jp/bunyabetsu/kotsu_butsuryu/pdf/index_koutuu_01.xlsx</x:v>
      </x:c>
      <x:c r="L140" s="32" t="n">
        <x:v>46256</x:v>
      </x:c>
    </x:row>
    <x:row r="141" ht="40" customHeight="1">
      <x:c r="A141" s="29" t="str">
        <x:v>R138</x:v>
      </x:c>
      <x:c r="B141" s="29" t="str">
        <x:v>S050</x:v>
      </x:c>
      <x:c r="C141" s="29" t="str">
        <x:v>多摩市部</x:v>
      </x:c>
      <x:c r="D141" s="29" t="str">
        <x:v>国分寺市</x:v>
      </x:c>
      <x:c r="E141" s="29" t="str">
        <x:v>国分寺市地域バス （ぶんバス）</x:v>
      </x:c>
      <x:c r="F141" s="29" t="str">
        <x:v>本多ルート</x:v>
      </x:c>
      <x:c r="G141" s="29" t="str">
        <x:v>大人・小人 一回 100円 （未就学児無料）</x:v>
      </x:c>
      <x:c r="H141" s="29" t="str">
        <x:v>京王バス</x:v>
      </x:c>
      <x:c r="I141" s="29" t="str">
        <x:v>対象</x:v>
      </x:c>
      <x:c r="J141" s="29" t="n">
        <x:v>140</x:v>
      </x:c>
      <x:c r="K141" s="34" t="str">
        <x:v>https://www.toshiseibi1.metro.tokyo.lg.jp/bunyabetsu/kotsu_butsuryu/pdf/index_koutuu_01.xlsx</x:v>
      </x:c>
      <x:c r="L141" s="32" t="n">
        <x:v>46256</x:v>
      </x:c>
    </x:row>
    <x:row r="142" ht="40" customHeight="1">
      <x:c r="A142" s="29" t="str">
        <x:v>R139</x:v>
      </x:c>
      <x:c r="B142" s="29" t="str">
        <x:v>S050</x:v>
      </x:c>
      <x:c r="C142" s="29" t="str">
        <x:v>多摩市部</x:v>
      </x:c>
      <x:c r="D142" s="29" t="str">
        <x:v>国分寺市</x:v>
      </x:c>
      <x:c r="E142" s="29" t="str">
        <x:v>国分寺市地域バス （ぶんバス）</x:v>
      </x:c>
      <x:c r="F142" s="29" t="str">
        <x:v>西町ルート</x:v>
      </x:c>
      <x:c r="G142" s="29" t="str">
        <x:v>大人・小人 一回 100円 （未就学児無料）</x:v>
      </x:c>
      <x:c r="H142" s="29" t="str">
        <x:v>立川バス</x:v>
      </x:c>
      <x:c r="I142" s="29" t="str">
        <x:v>対象</x:v>
      </x:c>
      <x:c r="J142" s="29" t="n">
        <x:v>141</x:v>
      </x:c>
      <x:c r="K142" s="34" t="str">
        <x:v>https://www.toshiseibi1.metro.tokyo.lg.jp/bunyabetsu/kotsu_butsuryu/pdf/index_koutuu_01.xlsx</x:v>
      </x:c>
      <x:c r="L142" s="32" t="n">
        <x:v>46256</x:v>
      </x:c>
    </x:row>
    <x:row r="143" ht="40" customHeight="1">
      <x:c r="A143" s="29" t="str">
        <x:v>R140</x:v>
      </x:c>
      <x:c r="B143" s="29" t="str">
        <x:v>S050</x:v>
      </x:c>
      <x:c r="C143" s="29" t="str">
        <x:v>多摩市部</x:v>
      </x:c>
      <x:c r="D143" s="29" t="str">
        <x:v>国分寺市</x:v>
      </x:c>
      <x:c r="E143" s="29" t="str">
        <x:v>国分寺市地域バス （ぶんバス）</x:v>
      </x:c>
      <x:c r="F143" s="29" t="str">
        <x:v>北町ルート</x:v>
      </x:c>
      <x:c r="G143" s="29" t="str">
        <x:v>大人・小人 一回 100円 （未就学児無料）</x:v>
      </x:c>
      <x:c r="H143" s="29" t="str">
        <x:v>武州交通興業</x:v>
      </x:c>
      <x:c r="I143" s="29" t="str">
        <x:v>対象</x:v>
      </x:c>
      <x:c r="J143" s="29" t="n">
        <x:v>142</x:v>
      </x:c>
      <x:c r="K143" s="34" t="str">
        <x:v>https://www.toshiseibi1.metro.tokyo.lg.jp/bunyabetsu/kotsu_butsuryu/pdf/index_koutuu_01.xlsx</x:v>
      </x:c>
      <x:c r="L143" s="32" t="n">
        <x:v>46256</x:v>
      </x:c>
    </x:row>
    <x:row r="144" ht="40" customHeight="1">
      <x:c r="A144" s="29" t="str">
        <x:v>R141</x:v>
      </x:c>
      <x:c r="B144" s="29" t="str">
        <x:v>S050</x:v>
      </x:c>
      <x:c r="C144" s="29" t="str">
        <x:v>多摩市部</x:v>
      </x:c>
      <x:c r="D144" s="29" t="str">
        <x:v>国分寺市</x:v>
      </x:c>
      <x:c r="E144" s="29" t="str">
        <x:v>国分寺市地域バス （ぶんバス）</x:v>
      </x:c>
      <x:c r="F144" s="29" t="str">
        <x:v>万葉・けやきルート</x:v>
      </x:c>
      <x:c r="G144" s="29" t="str">
        <x:v>大人・小人 一回 100円 （未就学児無料）</x:v>
      </x:c>
      <x:c r="H144" s="29" t="str">
        <x:v>京王バス</x:v>
      </x:c>
      <x:c r="I144" s="29" t="str">
        <x:v>対象</x:v>
      </x:c>
      <x:c r="J144" s="29" t="n">
        <x:v>143</x:v>
      </x:c>
      <x:c r="K144" s="34" t="str">
        <x:v>https://www.toshiseibi1.metro.tokyo.lg.jp/bunyabetsu/kotsu_butsuryu/pdf/index_koutuu_01.xlsx</x:v>
      </x:c>
      <x:c r="L144" s="32" t="n">
        <x:v>46256</x:v>
      </x:c>
    </x:row>
    <x:row r="145" ht="40" customHeight="1">
      <x:c r="A145" s="29" t="str">
        <x:v>R142</x:v>
      </x:c>
      <x:c r="B145" s="29" t="str">
        <x:v>S051</x:v>
      </x:c>
      <x:c r="C145" s="29" t="str">
        <x:v>多摩市部</x:v>
      </x:c>
      <x:c r="D145" s="29" t="str">
        <x:v>国立市</x:v>
      </x:c>
      <x:c r="E145" s="29" t="str">
        <x:v>くにっこ</x:v>
      </x:c>
      <x:c r="F145" s="29" t="str">
        <x:v>北ルート（朝・夕のみ北西中ルートの一部を往復）、北西中ルート</x:v>
      </x:c>
      <x:c r="G145" s="29" t="str">
        <x:v>180円</x:v>
      </x:c>
      <x:c r="H145" s="29" t="str">
        <x:v>立川バス</x:v>
      </x:c>
      <x:c r="I145" s="29" t="str">
        <x:v>対象</x:v>
      </x:c>
      <x:c r="J145" s="29" t="n">
        <x:v>144</x:v>
      </x:c>
      <x:c r="K145" s="34" t="str">
        <x:v>https://www.toshiseibi1.metro.tokyo.lg.jp/bunyabetsu/kotsu_butsuryu/pdf/index_koutuu_01.xlsx</x:v>
      </x:c>
      <x:c r="L145" s="32" t="n">
        <x:v>46256</x:v>
      </x:c>
    </x:row>
    <x:row r="146" ht="40" customHeight="1">
      <x:c r="A146" s="29" t="str">
        <x:v>R143</x:v>
      </x:c>
      <x:c r="B146" s="29" t="str">
        <x:v>S052</x:v>
      </x:c>
      <x:c r="C146" s="29" t="str">
        <x:v>多摩市部</x:v>
      </x:c>
      <x:c r="D146" s="29" t="str">
        <x:v>国立市</x:v>
      </x:c>
      <x:c r="E146" s="29" t="str">
        <x:v>あおやぎっこ</x:v>
      </x:c>
      <x:c r="F146" s="29" t="str">
        <x:v>青柳ルート</x:v>
      </x:c>
      <x:c r="G146" s="29" t="str">
        <x:v>200円</x:v>
      </x:c>
      <x:c r="H146" s="29" t="str">
        <x:v>銀星交通</x:v>
      </x:c>
      <x:c r="I146" s="29" t="str">
        <x:v>対象</x:v>
      </x:c>
      <x:c r="J146" s="29" t="n">
        <x:v>145</x:v>
      </x:c>
      <x:c r="K146" s="34" t="str">
        <x:v>https://www.toshiseibi1.metro.tokyo.lg.jp/bunyabetsu/kotsu_butsuryu/pdf/index_koutuu_01.xlsx</x:v>
      </x:c>
      <x:c r="L146" s="32" t="n">
        <x:v>46256</x:v>
      </x:c>
    </x:row>
    <x:row r="147" ht="40" customHeight="1">
      <x:c r="A147" s="29" t="str">
        <x:v>R144</x:v>
      </x:c>
      <x:c r="B147" s="29" t="str">
        <x:v>S053</x:v>
      </x:c>
      <x:c r="C147" s="29" t="str">
        <x:v>多摩市部</x:v>
      </x:c>
      <x:c r="D147" s="29" t="str">
        <x:v>狛江市</x:v>
      </x:c>
      <x:c r="E147" s="29" t="str">
        <x:v>こまバス</x:v>
      </x:c>
      <x:c r="F147" s="29" t="str">
        <x:v>北ルート</x:v>
      </x:c>
      <x:c r="G147" s="29" t="str">
        <x:v>大人200円 小人100円</x:v>
      </x:c>
      <x:c r="H147" s="29" t="str">
        <x:v>小田急バス</x:v>
      </x:c>
      <x:c r="I147" s="29" t="str">
        <x:v>対象</x:v>
      </x:c>
      <x:c r="J147" s="29" t="n">
        <x:v>146</x:v>
      </x:c>
      <x:c r="K147" s="34" t="str">
        <x:v>https://www.toshiseibi1.metro.tokyo.lg.jp/bunyabetsu/kotsu_butsuryu/pdf/index_koutuu_01.xlsx</x:v>
      </x:c>
      <x:c r="L147" s="32" t="n">
        <x:v>46256</x:v>
      </x:c>
    </x:row>
    <x:row r="148" ht="40" customHeight="1">
      <x:c r="A148" s="29" t="str">
        <x:v>R145</x:v>
      </x:c>
      <x:c r="B148" s="29" t="str">
        <x:v>S053</x:v>
      </x:c>
      <x:c r="C148" s="29" t="str">
        <x:v>多摩市部</x:v>
      </x:c>
      <x:c r="D148" s="29" t="str">
        <x:v>狛江市</x:v>
      </x:c>
      <x:c r="E148" s="29" t="str">
        <x:v>こまバス</x:v>
      </x:c>
      <x:c r="F148" s="29" t="str">
        <x:v>南ルート</x:v>
      </x:c>
      <x:c r="G148" s="29" t="str">
        <x:v>大人200円 小人100円</x:v>
      </x:c>
      <x:c r="H148" s="29" t="str">
        <x:v>小田急バス</x:v>
      </x:c>
      <x:c r="I148" s="29" t="str">
        <x:v>対象</x:v>
      </x:c>
      <x:c r="J148" s="29" t="n">
        <x:v>147</x:v>
      </x:c>
      <x:c r="K148" s="34" t="str">
        <x:v>https://www.toshiseibi1.metro.tokyo.lg.jp/bunyabetsu/kotsu_butsuryu/pdf/index_koutuu_01.xlsx</x:v>
      </x:c>
      <x:c r="L148" s="32" t="n">
        <x:v>46256</x:v>
      </x:c>
    </x:row>
    <x:row r="149" ht="40" customHeight="1">
      <x:c r="A149" s="29" t="str">
        <x:v>R146</x:v>
      </x:c>
      <x:c r="B149" s="29" t="str">
        <x:v>S054</x:v>
      </x:c>
      <x:c r="C149" s="29" t="str">
        <x:v>多摩市部</x:v>
      </x:c>
      <x:c r="D149" s="29" t="str">
        <x:v>東大和市</x:v>
      </x:c>
      <x:c r="E149" s="29" t="str">
        <x:v>ちょこバス</x:v>
      </x:c>
      <x:c r="F149" s="29" t="str">
        <x:v>循環ルート</x:v>
      </x:c>
      <x:c r="G149" s="29" t="str">
        <x:v>大人180（IC:178）円 小人 90（IC:89）円</x:v>
      </x:c>
      <x:c r="H149" s="29" t="str">
        <x:v>西武バス</x:v>
      </x:c>
      <x:c r="I149" s="29" t="str">
        <x:v>対象</x:v>
      </x:c>
      <x:c r="J149" s="29" t="n">
        <x:v>148</x:v>
      </x:c>
      <x:c r="K149" s="34" t="str">
        <x:v>https://www.toshiseibi1.metro.tokyo.lg.jp/bunyabetsu/kotsu_butsuryu/pdf/index_koutuu_01.xlsx</x:v>
      </x:c>
      <x:c r="L149" s="32" t="n">
        <x:v>46256</x:v>
      </x:c>
    </x:row>
    <x:row r="150" ht="40" customHeight="1">
      <x:c r="A150" s="29" t="str">
        <x:v>R147</x:v>
      </x:c>
      <x:c r="B150" s="29" t="str">
        <x:v>S054</x:v>
      </x:c>
      <x:c r="C150" s="29" t="str">
        <x:v>多摩市部</x:v>
      </x:c>
      <x:c r="D150" s="29" t="str">
        <x:v>東大和市</x:v>
      </x:c>
      <x:c r="E150" s="29" t="str">
        <x:v>ちょこバス</x:v>
      </x:c>
      <x:c r="F150" s="29" t="str">
        <x:v>往復ルート</x:v>
      </x:c>
      <x:c r="G150" s="29" t="str">
        <x:v>大人180（IC:178）円 小人 90（IC:89）円</x:v>
      </x:c>
      <x:c r="H150" s="29" t="str">
        <x:v>西武バス</x:v>
      </x:c>
      <x:c r="I150" s="29" t="str">
        <x:v>対象</x:v>
      </x:c>
      <x:c r="J150" s="29" t="n">
        <x:v>149</x:v>
      </x:c>
      <x:c r="K150" s="34" t="str">
        <x:v>https://www.toshiseibi1.metro.tokyo.lg.jp/bunyabetsu/kotsu_butsuryu/pdf/index_koutuu_01.xlsx</x:v>
      </x:c>
      <x:c r="L150" s="32" t="n">
        <x:v>46256</x:v>
      </x:c>
    </x:row>
    <x:row r="151" ht="40" customHeight="1">
      <x:c r="A151" s="29" t="str">
        <x:v>R148</x:v>
      </x:c>
      <x:c r="B151" s="29" t="str">
        <x:v>S055</x:v>
      </x:c>
      <x:c r="C151" s="29" t="str">
        <x:v>多摩市部</x:v>
      </x:c>
      <x:c r="D151" s="29" t="str">
        <x:v>清瀬市</x:v>
      </x:c>
      <x:c r="E151" s="29" t="str">
        <x:v>きよバス</x:v>
      </x:c>
      <x:c r="F151" s="29" t="str">
        <x:v>志木街道経由</x:v>
      </x:c>
      <x:c r="G151" s="29" t="str">
        <x:v>現金：大人180円、小児 90円 ＩＣ：大人178円、小児 89円</x:v>
      </x:c>
      <x:c r="H151" s="29" t="str">
        <x:v>西武バス</x:v>
      </x:c>
      <x:c r="I151" s="29" t="str">
        <x:v>対象</x:v>
      </x:c>
      <x:c r="J151" s="29" t="n">
        <x:v>150</x:v>
      </x:c>
      <x:c r="K151" s="34" t="str">
        <x:v>https://www.toshiseibi1.metro.tokyo.lg.jp/bunyabetsu/kotsu_butsuryu/pdf/index_koutuu_01.xlsx</x:v>
      </x:c>
      <x:c r="L151" s="32" t="n">
        <x:v>46256</x:v>
      </x:c>
    </x:row>
    <x:row r="152" ht="40" customHeight="1">
      <x:c r="A152" s="29" t="str">
        <x:v>R149</x:v>
      </x:c>
      <x:c r="B152" s="29" t="str">
        <x:v>S055</x:v>
      </x:c>
      <x:c r="C152" s="29" t="str">
        <x:v>多摩市部</x:v>
      </x:c>
      <x:c r="D152" s="29" t="str">
        <x:v>清瀬市</x:v>
      </x:c>
      <x:c r="E152" s="29" t="str">
        <x:v>きよバス</x:v>
      </x:c>
      <x:c r="F152" s="29" t="str">
        <x:v>緑蔭通り経由</x:v>
      </x:c>
      <x:c r="G152" s="29" t="str">
        <x:v>現金：大人180円、小児 90円 ＩＣ：大人178円、小児 89円</x:v>
      </x:c>
      <x:c r="H152" s="29" t="str">
        <x:v>西武バス</x:v>
      </x:c>
      <x:c r="I152" s="29" t="str">
        <x:v>対象</x:v>
      </x:c>
      <x:c r="J152" s="29" t="n">
        <x:v>151</x:v>
      </x:c>
      <x:c r="K152" s="34" t="str">
        <x:v>https://www.toshiseibi1.metro.tokyo.lg.jp/bunyabetsu/kotsu_butsuryu/pdf/index_koutuu_01.xlsx</x:v>
      </x:c>
      <x:c r="L152" s="32" t="n">
        <x:v>46256</x:v>
      </x:c>
    </x:row>
    <x:row r="153" ht="40" customHeight="1">
      <x:c r="A153" s="29" t="str">
        <x:v>R150</x:v>
      </x:c>
      <x:c r="B153" s="29" t="str">
        <x:v>S056</x:v>
      </x:c>
      <x:c r="C153" s="29" t="str">
        <x:v>多摩市部</x:v>
      </x:c>
      <x:c r="D153" s="29" t="str">
        <x:v>東久留米市</x:v>
      </x:c>
      <x:c r="E153" s="29" t="str">
        <x:v>東久留米市 デマンド型交通 「くるぶー」</x:v>
      </x:c>
      <x:c r="F153" s="29" t="str">
        <x:v>自宅⇔乗降場（32か所）</x:v>
      </x:c>
      <x:c r="G153" s="29" t="str">
        <x:v>500円</x:v>
      </x:c>
      <x:c r="H153" s="29" t="str">
        <x:v>トーショー交通</x:v>
      </x:c>
      <x:c r="I153" s="29" t="str">
        <x:v>対象</x:v>
      </x:c>
      <x:c r="J153" s="29" t="n">
        <x:v>152</x:v>
      </x:c>
      <x:c r="K153" s="34" t="str">
        <x:v>https://www.toshiseibi1.metro.tokyo.lg.jp/bunyabetsu/kotsu_butsuryu/pdf/index_koutuu_01.xlsx</x:v>
      </x:c>
      <x:c r="L153" s="32" t="n">
        <x:v>46256</x:v>
      </x:c>
    </x:row>
    <x:row r="154" ht="40" customHeight="1">
      <x:c r="A154" s="29" t="str">
        <x:v>R151</x:v>
      </x:c>
      <x:c r="B154" s="29" t="str">
        <x:v>S057</x:v>
      </x:c>
      <x:c r="C154" s="29" t="str">
        <x:v>多摩市部</x:v>
      </x:c>
      <x:c r="D154" s="29" t="str">
        <x:v>武蔵村山市</x:v>
      </x:c>
      <x:c r="E154" s="29" t="str">
        <x:v>MMシャトル</x:v>
      </x:c>
      <x:c r="F154" s="29" t="str">
        <x:v>上北台ルート</x:v>
      </x:c>
      <x:c r="G154" s="29" t="str">
        <x:v>現金大人180円・小人90円・大人（障害あり）90円・小人（障害あり）50円</x:v>
      </x:c>
      <x:c r="H154" s="29" t="str">
        <x:v>立川バス</x:v>
      </x:c>
      <x:c r="I154" s="29" t="str">
        <x:v>対象</x:v>
      </x:c>
      <x:c r="J154" s="29" t="n">
        <x:v>153</x:v>
      </x:c>
      <x:c r="K154" s="34" t="str">
        <x:v>https://www.toshiseibi1.metro.tokyo.lg.jp/bunyabetsu/kotsu_butsuryu/pdf/index_koutuu_01.xlsx</x:v>
      </x:c>
      <x:c r="L154" s="32" t="n">
        <x:v>46256</x:v>
      </x:c>
    </x:row>
    <x:row r="155" ht="40" customHeight="1">
      <x:c r="A155" s="29" t="str">
        <x:v>R152</x:v>
      </x:c>
      <x:c r="B155" s="29" t="str">
        <x:v>S057</x:v>
      </x:c>
      <x:c r="C155" s="29" t="str">
        <x:v>多摩市部</x:v>
      </x:c>
      <x:c r="D155" s="29" t="str">
        <x:v>武蔵村山市</x:v>
      </x:c>
      <x:c r="E155" s="29" t="str">
        <x:v>MMシャトル</x:v>
      </x:c>
      <x:c r="F155" s="29" t="str">
        <x:v>玉川上水ルート</x:v>
      </x:c>
      <x:c r="G155" s="29" t="str">
        <x:v>現金大人180円・小人90円・大人（障害あり）90円・小人（障害あり）50円</x:v>
      </x:c>
      <x:c r="H155" s="29" t="str">
        <x:v>立川バス</x:v>
      </x:c>
      <x:c r="I155" s="29" t="str">
        <x:v>対象</x:v>
      </x:c>
      <x:c r="J155" s="29" t="n">
        <x:v>154</x:v>
      </x:c>
      <x:c r="K155" s="34" t="str">
        <x:v>https://www.toshiseibi1.metro.tokyo.lg.jp/bunyabetsu/kotsu_butsuryu/pdf/index_koutuu_01.xlsx</x:v>
      </x:c>
      <x:c r="L155" s="32" t="n">
        <x:v>46256</x:v>
      </x:c>
    </x:row>
    <x:row r="156" ht="40" customHeight="1">
      <x:c r="A156" s="29" t="str">
        <x:v>R153</x:v>
      </x:c>
      <x:c r="B156" s="29" t="str">
        <x:v>S058</x:v>
      </x:c>
      <x:c r="C156" s="29" t="str">
        <x:v>多摩市部</x:v>
      </x:c>
      <x:c r="D156" s="29" t="str">
        <x:v>武蔵村山市</x:v>
      </x:c>
      <x:c r="E156" s="29" t="str">
        <x:v>むらタク</x:v>
      </x:c>
      <x:c r="F156" s="29" t="str">
        <x:v>区域運行 （自宅⇔16か所の乗降場所）</x:v>
      </x:c>
      <x:c r="G156" s="29" t="str">
        <x:v>一般 300円 障害者手帳等所持者、シルバーパス所持者、介助者、小学生 150円</x:v>
      </x:c>
      <x:c r="H156" s="29" t="str">
        <x:v>村山運送</x:v>
      </x:c>
      <x:c r="I156" s="29" t="str">
        <x:v>対象</x:v>
      </x:c>
      <x:c r="J156" s="29" t="n">
        <x:v>155</x:v>
      </x:c>
      <x:c r="K156" s="34" t="str">
        <x:v>https://www.toshiseibi1.metro.tokyo.lg.jp/bunyabetsu/kotsu_butsuryu/pdf/index_koutuu_01.xlsx</x:v>
      </x:c>
      <x:c r="L156" s="32" t="n">
        <x:v>46256</x:v>
      </x:c>
    </x:row>
    <x:row r="157" ht="40" customHeight="1">
      <x:c r="A157" s="29" t="str">
        <x:v>R154</x:v>
      </x:c>
      <x:c r="B157" s="29" t="str">
        <x:v>S059</x:v>
      </x:c>
      <x:c r="C157" s="29" t="str">
        <x:v>多摩市部</x:v>
      </x:c>
      <x:c r="D157" s="29" t="str">
        <x:v>多摩市</x:v>
      </x:c>
      <x:c r="E157" s="29" t="str">
        <x:v>ミニバス</x:v>
      </x:c>
      <x:c r="F157" s="29" t="str">
        <x:v>東西線</x:v>
      </x:c>
      <x:c r="G157" s="29" t="str">
        <x:v>２００～５２０円</x:v>
      </x:c>
      <x:c r="H157" s="29" t="str">
        <x:v>京王バス</x:v>
      </x:c>
      <x:c r="I157" s="29" t="str">
        <x:v>対象</x:v>
      </x:c>
      <x:c r="J157" s="29" t="n">
        <x:v>156</x:v>
      </x:c>
      <x:c r="K157" s="34" t="str">
        <x:v>https://www.toshiseibi1.metro.tokyo.lg.jp/bunyabetsu/kotsu_butsuryu/pdf/index_koutuu_01.xlsx</x:v>
      </x:c>
      <x:c r="L157" s="32" t="n">
        <x:v>46256</x:v>
      </x:c>
    </x:row>
    <x:row r="158" ht="40" customHeight="1">
      <x:c r="A158" s="29" t="str">
        <x:v>R155</x:v>
      </x:c>
      <x:c r="B158" s="29" t="str">
        <x:v>S059</x:v>
      </x:c>
      <x:c r="C158" s="29" t="str">
        <x:v>多摩市部</x:v>
      </x:c>
      <x:c r="D158" s="29" t="str">
        <x:v>多摩市</x:v>
      </x:c>
      <x:c r="E158" s="29" t="str">
        <x:v>ミニバス</x:v>
      </x:c>
      <x:c r="F158" s="29" t="str">
        <x:v>南北線</x:v>
      </x:c>
      <x:c r="G158" s="29" t="str">
        <x:v>２００～２４０円</x:v>
      </x:c>
      <x:c r="H158" s="29" t="str">
        <x:v>京王バス</x:v>
      </x:c>
      <x:c r="I158" s="29" t="str">
        <x:v>対象</x:v>
      </x:c>
      <x:c r="J158" s="29" t="n">
        <x:v>157</x:v>
      </x:c>
      <x:c r="K158" s="34" t="str">
        <x:v>https://www.toshiseibi1.metro.tokyo.lg.jp/bunyabetsu/kotsu_butsuryu/pdf/index_koutuu_01.xlsx</x:v>
      </x:c>
      <x:c r="L158" s="32" t="n">
        <x:v>46256</x:v>
      </x:c>
    </x:row>
    <x:row r="159" ht="40" customHeight="1">
      <x:c r="A159" s="29" t="str">
        <x:v>R156</x:v>
      </x:c>
      <x:c r="B159" s="29" t="str">
        <x:v>S060</x:v>
      </x:c>
      <x:c r="C159" s="29" t="str">
        <x:v>多摩市部</x:v>
      </x:c>
      <x:c r="D159" s="29" t="str">
        <x:v>稲城市</x:v>
      </x:c>
      <x:c r="E159" s="29" t="str">
        <x:v>ｉ（あい）バス</x:v>
      </x:c>
      <x:c r="F159" s="29" t="str">
        <x:v>Ａコース〈右回り〉市内循環路線</x:v>
      </x:c>
      <x:c r="G159" s="29" t="str">
        <x:v>大人（中学生以上）：現金 180円 ＩＣ 178円 子ども（小学生）：現金・ＩＣ 50円 未就学児童：無料</x:v>
      </x:c>
      <x:c r="H159" s="29" t="str">
        <x:v>小田急バス</x:v>
      </x:c>
      <x:c r="I159" s="29" t="str">
        <x:v>対象</x:v>
      </x:c>
      <x:c r="J159" s="29" t="n">
        <x:v>158</x:v>
      </x:c>
      <x:c r="K159" s="34" t="str">
        <x:v>https://www.toshiseibi1.metro.tokyo.lg.jp/bunyabetsu/kotsu_butsuryu/pdf/index_koutuu_01.xlsx</x:v>
      </x:c>
      <x:c r="L159" s="32" t="n">
        <x:v>46256</x:v>
      </x:c>
    </x:row>
    <x:row r="160" ht="40" customHeight="1">
      <x:c r="A160" s="29" t="str">
        <x:v>R157</x:v>
      </x:c>
      <x:c r="B160" s="29" t="str">
        <x:v>S060</x:v>
      </x:c>
      <x:c r="C160" s="29" t="str">
        <x:v>多摩市部</x:v>
      </x:c>
      <x:c r="D160" s="29" t="str">
        <x:v>稲城市</x:v>
      </x:c>
      <x:c r="E160" s="29" t="str">
        <x:v>ｉ（あい）バス</x:v>
      </x:c>
      <x:c r="F160" s="29" t="str">
        <x:v>Ｂコース〈左回り〉市内循環路線</x:v>
      </x:c>
      <x:c r="G160" s="29" t="str">
        <x:v>大人（中学生以上）：現金 180円 ＩＣ 178円 子ども（小学生）：現金・ＩＣ 50円 未就学児童：無料</x:v>
      </x:c>
      <x:c r="H160" s="29" t="str">
        <x:v>小田急バス</x:v>
      </x:c>
      <x:c r="I160" s="29" t="str">
        <x:v>対象</x:v>
      </x:c>
      <x:c r="J160" s="29" t="n">
        <x:v>159</x:v>
      </x:c>
      <x:c r="K160" s="34" t="str">
        <x:v>https://www.toshiseibi1.metro.tokyo.lg.jp/bunyabetsu/kotsu_butsuryu/pdf/index_koutuu_01.xlsx</x:v>
      </x:c>
      <x:c r="L160" s="32" t="n">
        <x:v>46256</x:v>
      </x:c>
    </x:row>
    <x:row r="161" ht="40" customHeight="1">
      <x:c r="A161" s="29" t="str">
        <x:v>R158</x:v>
      </x:c>
      <x:c r="B161" s="29" t="str">
        <x:v>S060</x:v>
      </x:c>
      <x:c r="C161" s="29" t="str">
        <x:v>多摩市部</x:v>
      </x:c>
      <x:c r="D161" s="29" t="str">
        <x:v>稲城市</x:v>
      </x:c>
      <x:c r="E161" s="29" t="str">
        <x:v>ｉ（あい）バス</x:v>
      </x:c>
      <x:c r="F161" s="29" t="str">
        <x:v>Ｃコース〈往復〉平尾・南多摩駅路線</x:v>
      </x:c>
      <x:c r="G161" s="29" t="str">
        <x:v>大人（中学生以上）：現金 180円 ＩＣ 178円 子ども（小学生）：現金・ＩＣ 50円 未就学児童：無料</x:v>
      </x:c>
      <x:c r="H161" s="29" t="str">
        <x:v>小田急バス</x:v>
      </x:c>
      <x:c r="I161" s="29" t="str">
        <x:v>対象</x:v>
      </x:c>
      <x:c r="J161" s="29" t="n">
        <x:v>160</x:v>
      </x:c>
      <x:c r="K161" s="34" t="str">
        <x:v>https://www.toshiseibi1.metro.tokyo.lg.jp/bunyabetsu/kotsu_butsuryu/pdf/index_koutuu_01.xlsx</x:v>
      </x:c>
      <x:c r="L161" s="32" t="n">
        <x:v>46256</x:v>
      </x:c>
    </x:row>
    <x:row r="162" ht="40" customHeight="1">
      <x:c r="A162" s="29" t="str">
        <x:v>R159</x:v>
      </x:c>
      <x:c r="B162" s="29" t="str">
        <x:v>S060</x:v>
      </x:c>
      <x:c r="C162" s="29" t="str">
        <x:v>多摩市部</x:v>
      </x:c>
      <x:c r="D162" s="29" t="str">
        <x:v>稲城市</x:v>
      </x:c>
      <x:c r="E162" s="29" t="str">
        <x:v>ｉ（あい）バス</x:v>
      </x:c>
      <x:c r="F162" s="29" t="str">
        <x:v>Ｄコース〈梨〉南多摩駅・よみうりランド路線</x:v>
      </x:c>
      <x:c r="G162" s="29" t="str">
        <x:v>大人（中学生以上）：現金 180円 ＩＣ 178円 子ども（小学生）：現金・ＩＣ 50円 未就学児童：無料</x:v>
      </x:c>
      <x:c r="H162" s="29" t="str">
        <x:v>小田急バス</x:v>
      </x:c>
      <x:c r="I162" s="29" t="str">
        <x:v>対象</x:v>
      </x:c>
      <x:c r="J162" s="29" t="n">
        <x:v>161</x:v>
      </x:c>
      <x:c r="K162" s="34" t="str">
        <x:v>https://www.toshiseibi1.metro.tokyo.lg.jp/bunyabetsu/kotsu_butsuryu/pdf/index_koutuu_01.xlsx</x:v>
      </x:c>
      <x:c r="L162" s="32" t="n">
        <x:v>46256</x:v>
      </x:c>
    </x:row>
    <x:row r="163" ht="40" customHeight="1">
      <x:c r="A163" s="29" t="str">
        <x:v>R160</x:v>
      </x:c>
      <x:c r="B163" s="29" t="str">
        <x:v>S060</x:v>
      </x:c>
      <x:c r="C163" s="29" t="str">
        <x:v>多摩市部</x:v>
      </x:c>
      <x:c r="D163" s="29" t="str">
        <x:v>稲城市</x:v>
      </x:c>
      <x:c r="E163" s="29" t="str">
        <x:v>ｉ（あい）バス</x:v>
      </x:c>
      <x:c r="F163" s="29" t="str">
        <x:v>Ｅコース〈ぶどう〉南多摩駅・よみうりランド路線</x:v>
      </x:c>
      <x:c r="G163" s="29" t="str">
        <x:v>大人（中学生以上）：現金 180円 ＩＣ 178円 子ども（小学生）：現金・ＩＣ 50円 未就学児童：無料</x:v>
      </x:c>
      <x:c r="H163" s="29" t="str">
        <x:v>小田急バス</x:v>
      </x:c>
      <x:c r="I163" s="29" t="str">
        <x:v>対象</x:v>
      </x:c>
      <x:c r="J163" s="29" t="n">
        <x:v>162</x:v>
      </x:c>
      <x:c r="K163" s="34" t="str">
        <x:v>https://www.toshiseibi1.metro.tokyo.lg.jp/bunyabetsu/kotsu_butsuryu/pdf/index_koutuu_01.xlsx</x:v>
      </x:c>
      <x:c r="L163" s="32" t="n">
        <x:v>46256</x:v>
      </x:c>
    </x:row>
    <x:row r="164" ht="40" customHeight="1">
      <x:c r="A164" s="29" t="str">
        <x:v>R161</x:v>
      </x:c>
      <x:c r="B164" s="29" t="str">
        <x:v>S061</x:v>
      </x:c>
      <x:c r="C164" s="29" t="str">
        <x:v>多摩市部</x:v>
      </x:c>
      <x:c r="D164" s="29" t="str">
        <x:v>羽村市</x:v>
      </x:c>
      <x:c r="E164" s="29" t="str">
        <x:v>はむらん</x:v>
      </x:c>
      <x:c r="F164" s="29" t="str">
        <x:v>羽村東コース</x:v>
      </x:c>
      <x:c r="G164" s="29" t="str">
        <x:v>100円</x:v>
      </x:c>
      <x:c r="H164" s="29" t="str">
        <x:v>西東京バス</x:v>
      </x:c>
      <x:c r="I164" s="29" t="str">
        <x:v>対象</x:v>
      </x:c>
      <x:c r="J164" s="29" t="n">
        <x:v>163</x:v>
      </x:c>
      <x:c r="K164" s="34" t="str">
        <x:v>https://www.toshiseibi1.metro.tokyo.lg.jp/bunyabetsu/kotsu_butsuryu/pdf/index_koutuu_01.xlsx</x:v>
      </x:c>
      <x:c r="L164" s="32" t="n">
        <x:v>46256</x:v>
      </x:c>
    </x:row>
    <x:row r="165" ht="40" customHeight="1">
      <x:c r="A165" s="29" t="str">
        <x:v>R162</x:v>
      </x:c>
      <x:c r="B165" s="29" t="str">
        <x:v>S061</x:v>
      </x:c>
      <x:c r="C165" s="29" t="str">
        <x:v>多摩市部</x:v>
      </x:c>
      <x:c r="D165" s="29" t="str">
        <x:v>羽村市</x:v>
      </x:c>
      <x:c r="E165" s="29" t="str">
        <x:v>はむらん</x:v>
      </x:c>
      <x:c r="F165" s="29" t="str">
        <x:v>羽村西コース</x:v>
      </x:c>
      <x:c r="G165" s="29" t="str">
        <x:v>100円</x:v>
      </x:c>
      <x:c r="H165" s="29" t="str">
        <x:v>西東京バス</x:v>
      </x:c>
      <x:c r="I165" s="29" t="str">
        <x:v>対象</x:v>
      </x:c>
      <x:c r="J165" s="29" t="n">
        <x:v>164</x:v>
      </x:c>
      <x:c r="K165" s="34" t="str">
        <x:v>https://www.toshiseibi1.metro.tokyo.lg.jp/bunyabetsu/kotsu_butsuryu/pdf/index_koutuu_01.xlsx</x:v>
      </x:c>
      <x:c r="L165" s="32" t="n">
        <x:v>46256</x:v>
      </x:c>
    </x:row>
    <x:row r="166" ht="40" customHeight="1">
      <x:c r="A166" s="29" t="str">
        <x:v>R163</x:v>
      </x:c>
      <x:c r="B166" s="29" t="str">
        <x:v>S061</x:v>
      </x:c>
      <x:c r="C166" s="29" t="str">
        <x:v>多摩市部</x:v>
      </x:c>
      <x:c r="D166" s="29" t="str">
        <x:v>羽村市</x:v>
      </x:c>
      <x:c r="E166" s="29" t="str">
        <x:v>はむらん</x:v>
      </x:c>
      <x:c r="F166" s="29" t="str">
        <x:v>小作コース</x:v>
      </x:c>
      <x:c r="G166" s="29" t="str">
        <x:v>100円</x:v>
      </x:c>
      <x:c r="H166" s="29" t="str">
        <x:v>西東京バス</x:v>
      </x:c>
      <x:c r="I166" s="29" t="str">
        <x:v>対象</x:v>
      </x:c>
      <x:c r="J166" s="29" t="n">
        <x:v>165</x:v>
      </x:c>
      <x:c r="K166" s="34" t="str">
        <x:v>https://www.toshiseibi1.metro.tokyo.lg.jp/bunyabetsu/kotsu_butsuryu/pdf/index_koutuu_01.xlsx</x:v>
      </x:c>
      <x:c r="L166" s="32" t="n">
        <x:v>46256</x:v>
      </x:c>
    </x:row>
    <x:row r="167" ht="40" customHeight="1">
      <x:c r="A167" s="29" t="str">
        <x:v>R164</x:v>
      </x:c>
      <x:c r="B167" s="29" t="str">
        <x:v>S061</x:v>
      </x:c>
      <x:c r="C167" s="29" t="str">
        <x:v>多摩市部</x:v>
      </x:c>
      <x:c r="D167" s="29" t="str">
        <x:v>羽村市</x:v>
      </x:c>
      <x:c r="E167" s="29" t="str">
        <x:v>はむらん</x:v>
      </x:c>
      <x:c r="F167" s="29" t="str">
        <x:v>羽村中央コース</x:v>
      </x:c>
      <x:c r="G167" s="29" t="str">
        <x:v>100円</x:v>
      </x:c>
      <x:c r="H167" s="29" t="str">
        <x:v>西東京バス</x:v>
      </x:c>
      <x:c r="I167" s="29" t="str">
        <x:v>対象</x:v>
      </x:c>
      <x:c r="J167" s="29" t="n">
        <x:v>166</x:v>
      </x:c>
      <x:c r="K167" s="34" t="str">
        <x:v>https://www.toshiseibi1.metro.tokyo.lg.jp/bunyabetsu/kotsu_butsuryu/pdf/index_koutuu_01.xlsx</x:v>
      </x:c>
      <x:c r="L167" s="32" t="n">
        <x:v>46256</x:v>
      </x:c>
    </x:row>
    <x:row r="168" ht="40" customHeight="1">
      <x:c r="A168" s="29" t="str">
        <x:v>R165</x:v>
      </x:c>
      <x:c r="B168" s="29" t="str">
        <x:v>S062</x:v>
      </x:c>
      <x:c r="C168" s="29" t="str">
        <x:v>多摩市部</x:v>
      </x:c>
      <x:c r="D168" s="29" t="str">
        <x:v>あきる野市</x:v>
      </x:c>
      <x:c r="E168" s="29" t="str">
        <x:v>るのバス</x:v>
      </x:c>
      <x:c r="F168" s="29" t="str">
        <x:v>秋川ルート</x:v>
      </x:c>
      <x:c r="G168" s="29" t="str">
        <x:v>100円</x:v>
      </x:c>
      <x:c r="H168" s="29" t="str">
        <x:v>西東京バス</x:v>
      </x:c>
      <x:c r="I168" s="29" t="str">
        <x:v>対象</x:v>
      </x:c>
      <x:c r="J168" s="29" t="n">
        <x:v>167</x:v>
      </x:c>
      <x:c r="K168" s="34" t="str">
        <x:v>https://www.toshiseibi1.metro.tokyo.lg.jp/bunyabetsu/kotsu_butsuryu/pdf/index_koutuu_01.xlsx</x:v>
      </x:c>
      <x:c r="L168" s="32" t="n">
        <x:v>46256</x:v>
      </x:c>
    </x:row>
    <x:row r="169" ht="40" customHeight="1">
      <x:c r="A169" s="29" t="str">
        <x:v>R166</x:v>
      </x:c>
      <x:c r="B169" s="29" t="str">
        <x:v>S062</x:v>
      </x:c>
      <x:c r="C169" s="29" t="str">
        <x:v>多摩市部</x:v>
      </x:c>
      <x:c r="D169" s="29" t="str">
        <x:v>あきる野市</x:v>
      </x:c>
      <x:c r="E169" s="29" t="str">
        <x:v>るのバス</x:v>
      </x:c>
      <x:c r="F169" s="29" t="str">
        <x:v>五日市ルート</x:v>
      </x:c>
      <x:c r="G169" s="29" t="str">
        <x:v>100円</x:v>
      </x:c>
      <x:c r="H169" s="29" t="str">
        <x:v>西東京バス</x:v>
      </x:c>
      <x:c r="I169" s="29" t="str">
        <x:v>対象</x:v>
      </x:c>
      <x:c r="J169" s="29" t="n">
        <x:v>168</x:v>
      </x:c>
      <x:c r="K169" s="34" t="str">
        <x:v>https://www.toshiseibi1.metro.tokyo.lg.jp/bunyabetsu/kotsu_butsuryu/pdf/index_koutuu_01.xlsx</x:v>
      </x:c>
      <x:c r="L169" s="32" t="n">
        <x:v>46256</x:v>
      </x:c>
    </x:row>
    <x:row r="170" ht="40" customHeight="1">
      <x:c r="A170" s="29" t="str">
        <x:v>R167</x:v>
      </x:c>
      <x:c r="B170" s="29" t="str">
        <x:v>S063</x:v>
      </x:c>
      <x:c r="C170" s="29" t="str">
        <x:v>多摩市部</x:v>
      </x:c>
      <x:c r="D170" s="29" t="str">
        <x:v>あきる野市</x:v>
      </x:c>
      <x:c r="E170" s="29" t="str">
        <x:v>チョイソコあきる野</x:v>
      </x:c>
      <x:c r="F170" s="29" t="str">
        <x:v>引田・渕上・上代継・下代継地域</x:v>
      </x:c>
      <x:c r="G170" s="29" t="str">
        <x:v>200円</x:v>
      </x:c>
      <x:c r="H170" s="29" t="str">
        <x:v>横川観光</x:v>
      </x:c>
      <x:c r="I170" s="29" t="str">
        <x:v>対象</x:v>
      </x:c>
      <x:c r="J170" s="29" t="n">
        <x:v>169</x:v>
      </x:c>
      <x:c r="K170" s="34" t="str">
        <x:v>https://www.toshiseibi1.metro.tokyo.lg.jp/bunyabetsu/kotsu_butsuryu/pdf/index_koutuu_01.xlsx</x:v>
      </x:c>
      <x:c r="L170" s="32" t="n">
        <x:v>46256</x:v>
      </x:c>
    </x:row>
    <x:row r="171" ht="40" customHeight="1">
      <x:c r="A171" s="29" t="str">
        <x:v>R168</x:v>
      </x:c>
      <x:c r="B171" s="29" t="str">
        <x:v>S063</x:v>
      </x:c>
      <x:c r="C171" s="29" t="str">
        <x:v>多摩市部</x:v>
      </x:c>
      <x:c r="D171" s="29" t="str">
        <x:v>あきる野市</x:v>
      </x:c>
      <x:c r="E171" s="29" t="str">
        <x:v>チョイソコあきる野</x:v>
      </x:c>
      <x:c r="F171" s="29" t="str">
        <x:v>網代地域</x:v>
      </x:c>
      <x:c r="G171" s="29" t="str">
        <x:v>200円</x:v>
      </x:c>
      <x:c r="H171" s="29" t="str">
        <x:v>横川観光</x:v>
      </x:c>
      <x:c r="I171" s="29" t="str">
        <x:v>対象</x:v>
      </x:c>
      <x:c r="J171" s="29" t="n">
        <x:v>170</x:v>
      </x:c>
      <x:c r="K171" s="34" t="str">
        <x:v>https://www.toshiseibi1.metro.tokyo.lg.jp/bunyabetsu/kotsu_butsuryu/pdf/index_koutuu_01.xlsx</x:v>
      </x:c>
      <x:c r="L171" s="32" t="n">
        <x:v>46256</x:v>
      </x:c>
    </x:row>
    <x:row r="172" ht="40" customHeight="1">
      <x:c r="A172" s="29" t="str">
        <x:v>R169</x:v>
      </x:c>
      <x:c r="B172" s="29" t="str">
        <x:v>S063</x:v>
      </x:c>
      <x:c r="C172" s="29" t="str">
        <x:v>多摩市部</x:v>
      </x:c>
      <x:c r="D172" s="29" t="str">
        <x:v>あきる野市</x:v>
      </x:c>
      <x:c r="E172" s="29" t="str">
        <x:v>チョイソコあきる野</x:v>
      </x:c>
      <x:c r="F172" s="29" t="str">
        <x:v>野辺・小川地域</x:v>
      </x:c>
      <x:c r="G172" s="29" t="str">
        <x:v>200円</x:v>
      </x:c>
      <x:c r="H172" s="29" t="str">
        <x:v>横川観光</x:v>
      </x:c>
      <x:c r="I172" s="29" t="str">
        <x:v>対象</x:v>
      </x:c>
      <x:c r="J172" s="29" t="n">
        <x:v>171</x:v>
      </x:c>
      <x:c r="K172" s="34" t="str">
        <x:v>https://www.toshiseibi1.metro.tokyo.lg.jp/bunyabetsu/kotsu_butsuryu/pdf/index_koutuu_01.xlsx</x:v>
      </x:c>
      <x:c r="L172" s="32" t="n">
        <x:v>46256</x:v>
      </x:c>
    </x:row>
    <x:row r="173" ht="40" customHeight="1">
      <x:c r="A173" s="29" t="str">
        <x:v>R170</x:v>
      </x:c>
      <x:c r="B173" s="29" t="str">
        <x:v>S063</x:v>
      </x:c>
      <x:c r="C173" s="29" t="str">
        <x:v>多摩市部</x:v>
      </x:c>
      <x:c r="D173" s="29" t="str">
        <x:v>あきる野市</x:v>
      </x:c>
      <x:c r="E173" s="29" t="str">
        <x:v>チョイソコあきる野</x:v>
      </x:c>
      <x:c r="F173" s="29" t="str">
        <x:v>草花地域</x:v>
      </x:c>
      <x:c r="G173" s="29" t="str">
        <x:v>200円</x:v>
      </x:c>
      <x:c r="H173" s="29" t="str">
        <x:v>横川観光</x:v>
      </x:c>
      <x:c r="I173" s="29" t="str">
        <x:v>対象</x:v>
      </x:c>
      <x:c r="J173" s="29" t="n">
        <x:v>172</x:v>
      </x:c>
      <x:c r="K173" s="34" t="str">
        <x:v>https://www.toshiseibi1.metro.tokyo.lg.jp/bunyabetsu/kotsu_butsuryu/pdf/index_koutuu_01.xlsx</x:v>
      </x:c>
      <x:c r="L173" s="32" t="n">
        <x:v>46256</x:v>
      </x:c>
    </x:row>
    <x:row r="174" ht="40" customHeight="1">
      <x:c r="A174" s="29" t="str">
        <x:v>R171</x:v>
      </x:c>
      <x:c r="B174" s="29" t="str">
        <x:v>S064</x:v>
      </x:c>
      <x:c r="C174" s="29" t="str">
        <x:v>多摩市部</x:v>
      </x:c>
      <x:c r="D174" s="29" t="str">
        <x:v>西東京市</x:v>
      </x:c>
      <x:c r="E174" s="29" t="str">
        <x:v>はなバス</x:v>
      </x:c>
      <x:c r="F174" s="29" t="str">
        <x:v>第１ルート</x:v>
      </x:c>
      <x:c r="G174" s="29" t="str">
        <x:v>大人150円・小人100円 75歳以上の市民に1000円の敬老回数券(10回分)販売</x:v>
      </x:c>
      <x:c r="H174" s="29" t="str">
        <x:v>西武バス</x:v>
      </x:c>
      <x:c r="I174" s="29" t="str">
        <x:v>対象</x:v>
      </x:c>
      <x:c r="J174" s="29" t="n">
        <x:v>173</x:v>
      </x:c>
      <x:c r="K174" s="34" t="str">
        <x:v>https://www.toshiseibi1.metro.tokyo.lg.jp/bunyabetsu/kotsu_butsuryu/pdf/index_koutuu_01.xlsx</x:v>
      </x:c>
      <x:c r="L174" s="32" t="n">
        <x:v>46256</x:v>
      </x:c>
    </x:row>
    <x:row r="175" ht="40" customHeight="1">
      <x:c r="A175" s="29" t="str">
        <x:v>R172</x:v>
      </x:c>
      <x:c r="B175" s="29" t="str">
        <x:v>S064</x:v>
      </x:c>
      <x:c r="C175" s="29" t="str">
        <x:v>多摩市部</x:v>
      </x:c>
      <x:c r="D175" s="29" t="str">
        <x:v>西東京市</x:v>
      </x:c>
      <x:c r="E175" s="29" t="str">
        <x:v>はなバス</x:v>
      </x:c>
      <x:c r="F175" s="29" t="str">
        <x:v>第2ルート</x:v>
      </x:c>
      <x:c r="G175" s="29" t="str">
        <x:v>大人150円・小人100円 75歳以上の市民に1000円の敬老回数券(10回分)販売</x:v>
      </x:c>
      <x:c r="H175" s="29" t="str">
        <x:v>西武バス</x:v>
      </x:c>
      <x:c r="I175" s="29" t="str">
        <x:v>対象</x:v>
      </x:c>
      <x:c r="J175" s="29" t="n">
        <x:v>174</x:v>
      </x:c>
      <x:c r="K175" s="34" t="str">
        <x:v>https://www.toshiseibi1.metro.tokyo.lg.jp/bunyabetsu/kotsu_butsuryu/pdf/index_koutuu_01.xlsx</x:v>
      </x:c>
      <x:c r="L175" s="32" t="n">
        <x:v>46256</x:v>
      </x:c>
    </x:row>
    <x:row r="176" ht="40" customHeight="1">
      <x:c r="A176" s="29" t="str">
        <x:v>R173</x:v>
      </x:c>
      <x:c r="B176" s="29" t="str">
        <x:v>S064</x:v>
      </x:c>
      <x:c r="C176" s="29" t="str">
        <x:v>多摩市部</x:v>
      </x:c>
      <x:c r="D176" s="29" t="str">
        <x:v>西東京市</x:v>
      </x:c>
      <x:c r="E176" s="29" t="str">
        <x:v>はなバス</x:v>
      </x:c>
      <x:c r="F176" s="29" t="str">
        <x:v>第3ルート</x:v>
      </x:c>
      <x:c r="G176" s="29" t="str">
        <x:v>大人150円・小人100円 75歳以上の市民に1000円の敬老回数券(10回分)販売</x:v>
      </x:c>
      <x:c r="H176" s="29" t="str">
        <x:v>西武バス</x:v>
      </x:c>
      <x:c r="I176" s="29" t="str">
        <x:v>対象</x:v>
      </x:c>
      <x:c r="J176" s="29" t="n">
        <x:v>175</x:v>
      </x:c>
      <x:c r="K176" s="34" t="str">
        <x:v>https://www.toshiseibi1.metro.tokyo.lg.jp/bunyabetsu/kotsu_butsuryu/pdf/index_koutuu_01.xlsx</x:v>
      </x:c>
      <x:c r="L176" s="32" t="n">
        <x:v>46256</x:v>
      </x:c>
    </x:row>
    <x:row r="177" ht="40" customHeight="1">
      <x:c r="A177" s="29" t="str">
        <x:v>R174</x:v>
      </x:c>
      <x:c r="B177" s="29" t="str">
        <x:v>S064</x:v>
      </x:c>
      <x:c r="C177" s="29" t="str">
        <x:v>多摩市部</x:v>
      </x:c>
      <x:c r="D177" s="29" t="str">
        <x:v>西東京市</x:v>
      </x:c>
      <x:c r="E177" s="29" t="str">
        <x:v>はなバス</x:v>
      </x:c>
      <x:c r="F177" s="29" t="str">
        <x:v>第4北ルート</x:v>
      </x:c>
      <x:c r="G177" s="29" t="str">
        <x:v>大人150円・小人100円 75歳以上の市民に1000円の敬老回数券(10回分)販売</x:v>
      </x:c>
      <x:c r="H177" s="29" t="str">
        <x:v>関東バス</x:v>
      </x:c>
      <x:c r="I177" s="29" t="str">
        <x:v>対象</x:v>
      </x:c>
      <x:c r="J177" s="29" t="n">
        <x:v>176</x:v>
      </x:c>
      <x:c r="K177" s="34" t="str">
        <x:v>https://www.toshiseibi1.metro.tokyo.lg.jp/bunyabetsu/kotsu_butsuryu/pdf/index_koutuu_01.xlsx</x:v>
      </x:c>
      <x:c r="L177" s="32" t="n">
        <x:v>46256</x:v>
      </x:c>
    </x:row>
    <x:row r="178" ht="40" customHeight="1">
      <x:c r="A178" s="29" t="str">
        <x:v>R175</x:v>
      </x:c>
      <x:c r="B178" s="29" t="str">
        <x:v>S064</x:v>
      </x:c>
      <x:c r="C178" s="29" t="str">
        <x:v>多摩市部</x:v>
      </x:c>
      <x:c r="D178" s="29" t="str">
        <x:v>西東京市</x:v>
      </x:c>
      <x:c r="E178" s="29" t="str">
        <x:v>はなバス</x:v>
      </x:c>
      <x:c r="F178" s="29" t="str">
        <x:v>第4南ルート</x:v>
      </x:c>
      <x:c r="G178" s="29" t="str">
        <x:v>大人150円・小人100円 75歳以上の市民に1000円の敬老回数券(10回分)販売</x:v>
      </x:c>
      <x:c r="H178" s="29" t="str">
        <x:v>関東バス</x:v>
      </x:c>
      <x:c r="I178" s="29" t="str">
        <x:v>対象</x:v>
      </x:c>
      <x:c r="J178" s="29" t="n">
        <x:v>177</x:v>
      </x:c>
      <x:c r="K178" s="34" t="str">
        <x:v>https://www.toshiseibi1.metro.tokyo.lg.jp/bunyabetsu/kotsu_butsuryu/pdf/index_koutuu_01.xlsx</x:v>
      </x:c>
      <x:c r="L178" s="32" t="n">
        <x:v>46256</x:v>
      </x:c>
    </x:row>
    <x:row r="179" ht="40" customHeight="1">
      <x:c r="A179" s="29" t="str">
        <x:v>R176</x:v>
      </x:c>
      <x:c r="B179" s="29" t="str">
        <x:v>S065</x:v>
      </x:c>
      <x:c r="C179" s="29" t="str">
        <x:v>多摩町村</x:v>
      </x:c>
      <x:c r="D179" s="29" t="str">
        <x:v>瑞穂町</x:v>
      </x:c>
      <x:c r="E179" s="29" t="str">
        <x:v>瑞穂町 コミュニティバス</x:v>
      </x:c>
      <x:c r="F179" s="29" t="str">
        <x:v>元狭山コース</x:v>
      </x:c>
      <x:c r="G179" s="29" t="str">
        <x:v>大人180円（IC178円） 大人（障がい者）90円（IC89円） 小人90円（IC89円） 小人（障がい者）50円（IC45円）</x:v>
      </x:c>
      <x:c r="H179" s="29" t="str">
        <x:v>立川バス</x:v>
      </x:c>
      <x:c r="I179" s="29" t="str">
        <x:v>対象</x:v>
      </x:c>
      <x:c r="J179" s="29" t="n">
        <x:v>178</x:v>
      </x:c>
      <x:c r="K179" s="34" t="str">
        <x:v>https://www.toshiseibi1.metro.tokyo.lg.jp/bunyabetsu/kotsu_butsuryu/pdf/index_koutuu_01.xlsx</x:v>
      </x:c>
      <x:c r="L179" s="32" t="n">
        <x:v>46256</x:v>
      </x:c>
    </x:row>
    <x:row r="180" ht="40" customHeight="1">
      <x:c r="A180" s="29" t="str">
        <x:v>R177</x:v>
      </x:c>
      <x:c r="B180" s="29" t="str">
        <x:v>S065</x:v>
      </x:c>
      <x:c r="C180" s="29" t="str">
        <x:v>多摩町村</x:v>
      </x:c>
      <x:c r="D180" s="29" t="str">
        <x:v>瑞穂町</x:v>
      </x:c>
      <x:c r="E180" s="29" t="str">
        <x:v>瑞穂町 コミュニティバス</x:v>
      </x:c>
      <x:c r="F180" s="29" t="str">
        <x:v>元狭山・長岡コース</x:v>
      </x:c>
      <x:c r="G180" s="29" t="str">
        <x:v>大人180円（IC178円） 大人（障がい者）90円（IC89円） 小人90円（IC89円） 小人（障がい者）50円（IC45円）</x:v>
      </x:c>
      <x:c r="H180" s="29" t="str">
        <x:v>立川バス</x:v>
      </x:c>
      <x:c r="I180" s="29" t="str">
        <x:v>対象</x:v>
      </x:c>
      <x:c r="J180" s="29" t="n">
        <x:v>179</x:v>
      </x:c>
      <x:c r="K180" s="34" t="str">
        <x:v>https://www.toshiseibi1.metro.tokyo.lg.jp/bunyabetsu/kotsu_butsuryu/pdf/index_koutuu_01.xlsx</x:v>
      </x:c>
      <x:c r="L180" s="32" t="n">
        <x:v>46256</x:v>
      </x:c>
    </x:row>
    <x:row r="181" ht="40" customHeight="1">
      <x:c r="A181" s="29" t="str">
        <x:v>R178</x:v>
      </x:c>
      <x:c r="B181" s="29" t="str">
        <x:v>S065</x:v>
      </x:c>
      <x:c r="C181" s="29" t="str">
        <x:v>多摩町村</x:v>
      </x:c>
      <x:c r="D181" s="29" t="str">
        <x:v>瑞穂町</x:v>
      </x:c>
      <x:c r="E181" s="29" t="str">
        <x:v>瑞穂町 コミュニティバス</x:v>
      </x:c>
      <x:c r="F181" s="29" t="str">
        <x:v>石畑・殿ケ谷コース</x:v>
      </x:c>
      <x:c r="G181" s="29" t="str">
        <x:v>大人180円（IC178円） 大人（障がい者）90円（IC89円） 小人90円（IC89円） 小人（障がい者）50円（IC45円）</x:v>
      </x:c>
      <x:c r="H181" s="29" t="str">
        <x:v>立川バス</x:v>
      </x:c>
      <x:c r="I181" s="29" t="str">
        <x:v>対象</x:v>
      </x:c>
      <x:c r="J181" s="29" t="n">
        <x:v>180</x:v>
      </x:c>
      <x:c r="K181" s="34" t="str">
        <x:v>https://www.toshiseibi1.metro.tokyo.lg.jp/bunyabetsu/kotsu_butsuryu/pdf/index_koutuu_01.xlsx</x:v>
      </x:c>
      <x:c r="L181" s="32" t="n">
        <x:v>46256</x:v>
      </x:c>
    </x:row>
    <x:row r="182" ht="40" customHeight="1">
      <x:c r="A182" s="29" t="str">
        <x:v>R179</x:v>
      </x:c>
      <x:c r="B182" s="29" t="str">
        <x:v>S065</x:v>
      </x:c>
      <x:c r="C182" s="29" t="str">
        <x:v>多摩町村</x:v>
      </x:c>
      <x:c r="D182" s="29" t="str">
        <x:v>瑞穂町</x:v>
      </x:c>
      <x:c r="E182" s="29" t="str">
        <x:v>瑞穂町 コミュニティバス</x:v>
      </x:c>
      <x:c r="F182" s="29" t="str">
        <x:v>箱根ケ崎・長岡コース</x:v>
      </x:c>
      <x:c r="G182" s="29" t="str">
        <x:v>大人180円（IC178円） 大人（障がい者）90円（IC89円） 小人90円（IC89円） 小人（障がい者）50円（IC45円）</x:v>
      </x:c>
      <x:c r="H182" s="29" t="str">
        <x:v>立川バス</x:v>
      </x:c>
      <x:c r="I182" s="29" t="str">
        <x:v>対象</x:v>
      </x:c>
      <x:c r="J182" s="29" t="n">
        <x:v>181</x:v>
      </x:c>
      <x:c r="K182" s="34" t="str">
        <x:v>https://www.toshiseibi1.metro.tokyo.lg.jp/bunyabetsu/kotsu_butsuryu/pdf/index_koutuu_01.xlsx</x:v>
      </x:c>
      <x:c r="L182" s="32" t="n">
        <x:v>46256</x:v>
      </x:c>
    </x:row>
    <x:row r="183" ht="40" customHeight="1">
      <x:c r="A183" s="29" t="str">
        <x:v>R180</x:v>
      </x:c>
      <x:c r="B183" s="29" t="str">
        <x:v>S065</x:v>
      </x:c>
      <x:c r="C183" s="29" t="str">
        <x:v>多摩町村</x:v>
      </x:c>
      <x:c r="D183" s="29" t="str">
        <x:v>瑞穂町</x:v>
      </x:c>
      <x:c r="E183" s="29" t="str">
        <x:v>瑞穂町 コミュニティバス</x:v>
      </x:c>
      <x:c r="F183" s="29" t="str">
        <x:v>武蔵野コース</x:v>
      </x:c>
      <x:c r="G183" s="29" t="str">
        <x:v>大人180円（IC178円） 大人（障がい者）90円（IC89円） 小人90円（IC89円） 小人（障がい者）50円（IC45円）</x:v>
      </x:c>
      <x:c r="H183" s="29" t="str">
        <x:v>立川バス</x:v>
      </x:c>
      <x:c r="I183" s="29" t="str">
        <x:v>対象</x:v>
      </x:c>
      <x:c r="J183" s="29" t="n">
        <x:v>182</x:v>
      </x:c>
      <x:c r="K183" s="34" t="str">
        <x:v>https://www.toshiseibi1.metro.tokyo.lg.jp/bunyabetsu/kotsu_butsuryu/pdf/index_koutuu_01.xlsx</x:v>
      </x:c>
      <x:c r="L183" s="32" t="n">
        <x:v>46256</x:v>
      </x:c>
    </x:row>
    <x:row r="184" ht="40" customHeight="1">
      <x:c r="A184" s="29" t="str">
        <x:v>R181</x:v>
      </x:c>
      <x:c r="B184" s="29" t="str">
        <x:v>S066</x:v>
      </x:c>
      <x:c r="C184" s="29" t="str">
        <x:v>多摩町村</x:v>
      </x:c>
      <x:c r="D184" s="29" t="str">
        <x:v>日の出町</x:v>
      </x:c>
      <x:c r="E184" s="29" t="str">
        <x:v>ぐるり～ん ひのでちゃん</x:v>
      </x:c>
      <x:c r="F184" s="29" t="str">
        <x:v>長井折返場～阿伎留医療センター</x:v>
      </x:c>
      <x:c r="G184" s="29" t="str">
        <x:v>100円</x:v>
      </x:c>
      <x:c r="H184" s="29" t="str">
        <x:v>西東京バス</x:v>
      </x:c>
      <x:c r="I184" s="29" t="str">
        <x:v>対象</x:v>
      </x:c>
      <x:c r="J184" s="29" t="n">
        <x:v>183</x:v>
      </x:c>
      <x:c r="K184" s="34" t="str">
        <x:v>https://www.toshiseibi1.metro.tokyo.lg.jp/bunyabetsu/kotsu_butsuryu/pdf/index_koutuu_01.xlsx</x:v>
      </x:c>
      <x:c r="L184" s="32" t="n">
        <x:v>46256</x:v>
      </x:c>
    </x:row>
    <x:row r="185" ht="40" customHeight="1">
      <x:c r="A185" s="29" t="str">
        <x:v>R182</x:v>
      </x:c>
      <x:c r="B185" s="29" t="str">
        <x:v>S067</x:v>
      </x:c>
      <x:c r="C185" s="29" t="str">
        <x:v>多摩町村</x:v>
      </x:c>
      <x:c r="D185" s="29" t="str">
        <x:v>檜原村</x:v>
      </x:c>
      <x:c r="E185" s="29" t="str">
        <x:v>やまびこ</x:v>
      </x:c>
      <x:c r="F185" s="29" t="str">
        <x:v>神戸線</x:v>
      </x:c>
      <x:c r="G185" s="29" t="str">
        <x:v>大人・小人 1回 100円</x:v>
      </x:c>
      <x:c r="H185" s="29" t="str">
        <x:v>大谷商事</x:v>
      </x:c>
      <x:c r="I185" s="29" t="str">
        <x:v>対象</x:v>
      </x:c>
      <x:c r="J185" s="29" t="n">
        <x:v>184</x:v>
      </x:c>
      <x:c r="K185" s="34" t="str">
        <x:v>https://www.toshiseibi1.metro.tokyo.lg.jp/bunyabetsu/kotsu_butsuryu/pdf/index_koutuu_01.xlsx</x:v>
      </x:c>
      <x:c r="L185" s="32" t="n">
        <x:v>46256</x:v>
      </x:c>
    </x:row>
    <x:row r="186" ht="40" customHeight="1">
      <x:c r="A186" s="29" t="str">
        <x:v>R183</x:v>
      </x:c>
      <x:c r="B186" s="29" t="str">
        <x:v>S067</x:v>
      </x:c>
      <x:c r="C186" s="29" t="str">
        <x:v>多摩町村</x:v>
      </x:c>
      <x:c r="D186" s="29" t="str">
        <x:v>檜原村</x:v>
      </x:c>
      <x:c r="E186" s="29" t="str">
        <x:v>やまびこ</x:v>
      </x:c>
      <x:c r="F186" s="29" t="str">
        <x:v>藤倉線</x:v>
      </x:c>
      <x:c r="G186" s="29" t="str">
        <x:v>大人・小人 1回 100円</x:v>
      </x:c>
      <x:c r="H186" s="29" t="str">
        <x:v>大谷商事</x:v>
      </x:c>
      <x:c r="I186" s="29" t="str">
        <x:v>対象</x:v>
      </x:c>
      <x:c r="J186" s="29" t="n">
        <x:v>185</x:v>
      </x:c>
      <x:c r="K186" s="34" t="str">
        <x:v>https://www.toshiseibi1.metro.tokyo.lg.jp/bunyabetsu/kotsu_butsuryu/pdf/index_koutuu_01.xlsx</x:v>
      </x:c>
      <x:c r="L186" s="32" t="n">
        <x:v>46256</x:v>
      </x:c>
    </x:row>
    <x:row r="187" ht="40" customHeight="1">
      <x:c r="A187" s="29" t="str">
        <x:v>R184</x:v>
      </x:c>
      <x:c r="B187" s="29" t="str">
        <x:v>S067</x:v>
      </x:c>
      <x:c r="C187" s="29" t="str">
        <x:v>多摩町村</x:v>
      </x:c>
      <x:c r="D187" s="29" t="str">
        <x:v>檜原村</x:v>
      </x:c>
      <x:c r="E187" s="29" t="str">
        <x:v>やまびこ</x:v>
      </x:c>
      <x:c r="F187" s="29" t="str">
        <x:v>笛吹・上平線</x:v>
      </x:c>
      <x:c r="G187" s="29" t="str">
        <x:v>大人・小人 1回 100円</x:v>
      </x:c>
      <x:c r="H187" s="29" t="str">
        <x:v>横川観光</x:v>
      </x:c>
      <x:c r="I187" s="29" t="str">
        <x:v>対象</x:v>
      </x:c>
      <x:c r="J187" s="29" t="n">
        <x:v>186</x:v>
      </x:c>
      <x:c r="K187" s="34" t="str">
        <x:v>https://www.toshiseibi1.metro.tokyo.lg.jp/bunyabetsu/kotsu_butsuryu/pdf/index_koutuu_01.xlsx</x:v>
      </x:c>
      <x:c r="L187" s="32" t="n">
        <x:v>46256</x:v>
      </x:c>
    </x:row>
    <x:row r="188" ht="40" customHeight="1">
      <x:c r="A188" s="29" t="str">
        <x:v>R185</x:v>
      </x:c>
      <x:c r="B188" s="29" t="str">
        <x:v>S067</x:v>
      </x:c>
      <x:c r="C188" s="29" t="str">
        <x:v>多摩町村</x:v>
      </x:c>
      <x:c r="D188" s="29" t="str">
        <x:v>檜原村</x:v>
      </x:c>
      <x:c r="E188" s="29" t="str">
        <x:v>やまびこ</x:v>
      </x:c>
      <x:c r="F188" s="29" t="str">
        <x:v>泉沢・日向線</x:v>
      </x:c>
      <x:c r="G188" s="29" t="str">
        <x:v>大人・小人 1回 100円</x:v>
      </x:c>
      <x:c r="H188" s="29" t="str">
        <x:v>横川観光</x:v>
      </x:c>
      <x:c r="I188" s="29" t="str">
        <x:v>対象</x:v>
      </x:c>
      <x:c r="J188" s="29" t="n">
        <x:v>187</x:v>
      </x:c>
      <x:c r="K188" s="34" t="str">
        <x:v>https://www.toshiseibi1.metro.tokyo.lg.jp/bunyabetsu/kotsu_butsuryu/pdf/index_koutuu_01.xlsx</x:v>
      </x:c>
      <x:c r="L188" s="32" t="n">
        <x:v>46256</x:v>
      </x:c>
    </x:row>
    <x:row r="189" ht="40" customHeight="1">
      <x:c r="A189" s="29" t="str">
        <x:v>R186</x:v>
      </x:c>
      <x:c r="B189" s="29" t="str">
        <x:v>S068</x:v>
      </x:c>
      <x:c r="C189" s="29" t="str">
        <x:v>島しょ</x:v>
      </x:c>
      <x:c r="D189" s="29" t="str">
        <x:v>新島村</x:v>
      </x:c>
      <x:c r="E189" s="29" t="str">
        <x:v>ふれあいバス</x:v>
      </x:c>
      <x:c r="F189" s="29" t="str">
        <x:v>（路線・エリア名の記載なし）</x:v>
      </x:c>
      <x:c r="G189" s="29" t="str">
        <x:v>無料</x:v>
      </x:c>
      <x:c r="H189" s="29" t="str">
        <x:v>新島村</x:v>
      </x:c>
      <x:c r="I189" s="29" t="str">
        <x:v>対象</x:v>
      </x:c>
      <x:c r="J189" s="29" t="n">
        <x:v>188</x:v>
      </x:c>
      <x:c r="K189" s="34" t="str">
        <x:v>https://www.toshiseibi1.metro.tokyo.lg.jp/bunyabetsu/kotsu_butsuryu/pdf/index_koutuu_01.xlsx</x:v>
      </x:c>
      <x:c r="L189" s="32" t="n">
        <x:v>46256</x:v>
      </x:c>
    </x:row>
    <x:row r="190" ht="40" customHeight="1">
      <x:c r="A190" s="29" t="str">
        <x:v>R187</x:v>
      </x:c>
      <x:c r="B190" s="29" t="str">
        <x:v>S069</x:v>
      </x:c>
      <x:c r="C190" s="29" t="str">
        <x:v>島しょ</x:v>
      </x:c>
      <x:c r="D190" s="29" t="str">
        <x:v>神津島村</x:v>
      </x:c>
      <x:c r="E190" s="29" t="str">
        <x:v>神津島村村営バス</x:v>
      </x:c>
      <x:c r="F190" s="29" t="str">
        <x:v>温泉保養センター・赤崎遊歩道方面</x:v>
      </x:c>
      <x:c r="G190" s="29" t="str">
        <x:v>大人200円/回、小人100円/回</x:v>
      </x:c>
      <x:c r="H190" s="29" t="str">
        <x:v>新島村</x:v>
      </x:c>
      <x:c r="I190" s="29" t="str">
        <x:v>対象</x:v>
      </x:c>
      <x:c r="J190" s="29" t="n">
        <x:v>189</x:v>
      </x:c>
      <x:c r="K190" s="34" t="str">
        <x:v>https://www.toshiseibi1.metro.tokyo.lg.jp/bunyabetsu/kotsu_butsuryu/pdf/index_koutuu_01.xlsx</x:v>
      </x:c>
      <x:c r="L190" s="32" t="n">
        <x:v>46256</x:v>
      </x:c>
    </x:row>
    <x:row r="191" ht="40" customHeight="1">
      <x:c r="A191" s="29" t="str">
        <x:v>R188</x:v>
      </x:c>
      <x:c r="B191" s="29" t="str">
        <x:v>S069</x:v>
      </x:c>
      <x:c r="C191" s="29" t="str">
        <x:v>島しょ</x:v>
      </x:c>
      <x:c r="D191" s="29" t="str">
        <x:v>神津島村</x:v>
      </x:c>
      <x:c r="E191" s="29" t="str">
        <x:v>神津島村村営バス</x:v>
      </x:c>
      <x:c r="F191" s="29" t="str">
        <x:v>空港・多幸湾・天上山方面</x:v>
      </x:c>
      <x:c r="G191" s="29" t="str">
        <x:v>大人200円/回、小人100円/回</x:v>
      </x:c>
      <x:c r="H191" s="29" t="str">
        <x:v>新島村</x:v>
      </x:c>
      <x:c r="I191" s="29" t="str">
        <x:v>対象</x:v>
      </x:c>
      <x:c r="J191" s="29" t="n">
        <x:v>190</x:v>
      </x:c>
      <x:c r="K191" s="34" t="str">
        <x:v>https://www.toshiseibi1.metro.tokyo.lg.jp/bunyabetsu/kotsu_butsuryu/pdf/index_koutuu_01.xlsx</x:v>
      </x:c>
      <x:c r="L191" s="32" t="n">
        <x:v>46256</x:v>
      </x:c>
    </x:row>
    <x:row r="192" ht="40" customHeight="1">
      <x:c r="A192" s="29" t="str">
        <x:v>R189</x:v>
      </x:c>
      <x:c r="B192" s="29" t="str">
        <x:v>S069</x:v>
      </x:c>
      <x:c r="C192" s="29" t="str">
        <x:v>島しょ</x:v>
      </x:c>
      <x:c r="D192" s="29" t="str">
        <x:v>神津島村</x:v>
      </x:c>
      <x:c r="E192" s="29" t="str">
        <x:v>神津島村村営バス</x:v>
      </x:c>
      <x:c r="F192" s="29" t="str">
        <x:v>天上山方面</x:v>
      </x:c>
      <x:c r="G192" s="29" t="str">
        <x:v>大人500円/回、小人300円/回</x:v>
      </x:c>
      <x:c r="H192" s="29" t="str">
        <x:v>新島村</x:v>
      </x:c>
      <x:c r="I192" s="29" t="str">
        <x:v>対象</x:v>
      </x:c>
      <x:c r="J192" s="29" t="n">
        <x:v>191</x:v>
      </x:c>
      <x:c r="K192" s="34" t="str">
        <x:v>https://www.toshiseibi1.metro.tokyo.lg.jp/bunyabetsu/kotsu_butsuryu/pdf/index_koutuu_01.xlsx</x:v>
      </x:c>
      <x:c r="L192" s="32" t="n">
        <x:v>46256</x:v>
      </x:c>
    </x:row>
    <x:row r="193" ht="40" customHeight="1">
      <x:c r="A193" s="29" t="str">
        <x:v>R190</x:v>
      </x:c>
      <x:c r="B193" s="29" t="str">
        <x:v>S070</x:v>
      </x:c>
      <x:c r="C193" s="29" t="str">
        <x:v>島しょ</x:v>
      </x:c>
      <x:c r="D193" s="29" t="str">
        <x:v>三宅村</x:v>
      </x:c>
      <x:c r="E193" s="29" t="str">
        <x:v>三宅村営バス</x:v>
      </x:c>
      <x:c r="F193" s="29" t="str">
        <x:v>船連絡バス（右回り）3系統</x:v>
      </x:c>
      <x:c r="G193" s="29" t="str">
        <x:v>距離制</x:v>
      </x:c>
      <x:c r="H193" s="29" t="str">
        <x:v>三宅村営バス</x:v>
      </x:c>
      <x:c r="I193" s="29" t="str">
        <x:v>対象</x:v>
      </x:c>
      <x:c r="J193" s="29" t="n">
        <x:v>192</x:v>
      </x:c>
      <x:c r="K193" s="34" t="str">
        <x:v>https://www.toshiseibi1.metro.tokyo.lg.jp/bunyabetsu/kotsu_butsuryu/pdf/index_koutuu_01.xlsx</x:v>
      </x:c>
      <x:c r="L193" s="32" t="n">
        <x:v>46256</x:v>
      </x:c>
    </x:row>
    <x:row r="194" ht="40" customHeight="1">
      <x:c r="A194" s="29" t="str">
        <x:v>R191</x:v>
      </x:c>
      <x:c r="B194" s="29" t="str">
        <x:v>S070</x:v>
      </x:c>
      <x:c r="C194" s="29" t="str">
        <x:v>島しょ</x:v>
      </x:c>
      <x:c r="D194" s="29" t="str">
        <x:v>三宅村</x:v>
      </x:c>
      <x:c r="E194" s="29" t="str">
        <x:v>三宅村営バス</x:v>
      </x:c>
      <x:c r="F194" s="29" t="str">
        <x:v>船連絡バス（左回り）3系統</x:v>
      </x:c>
      <x:c r="G194" s="29" t="str">
        <x:v>距離制</x:v>
      </x:c>
      <x:c r="H194" s="29" t="str">
        <x:v>三宅村営バス</x:v>
      </x:c>
      <x:c r="I194" s="29" t="str">
        <x:v>対象</x:v>
      </x:c>
      <x:c r="J194" s="29" t="n">
        <x:v>193</x:v>
      </x:c>
      <x:c r="K194" s="34" t="str">
        <x:v>https://www.toshiseibi1.metro.tokyo.lg.jp/bunyabetsu/kotsu_butsuryu/pdf/index_koutuu_01.xlsx</x:v>
      </x:c>
      <x:c r="L194" s="32" t="n">
        <x:v>46256</x:v>
      </x:c>
    </x:row>
    <x:row r="195" ht="40" customHeight="1">
      <x:c r="A195" s="29" t="str">
        <x:v>R192</x:v>
      </x:c>
      <x:c r="B195" s="29" t="str">
        <x:v>S070</x:v>
      </x:c>
      <x:c r="C195" s="29" t="str">
        <x:v>島しょ</x:v>
      </x:c>
      <x:c r="D195" s="29" t="str">
        <x:v>三宅村</x:v>
      </x:c>
      <x:c r="E195" s="29" t="str">
        <x:v>三宅村営バス</x:v>
      </x:c>
      <x:c r="F195" s="29" t="str">
        <x:v>一般路線（右回り）6系統</x:v>
      </x:c>
      <x:c r="G195" s="29" t="str">
        <x:v>距離制</x:v>
      </x:c>
      <x:c r="H195" s="29" t="str">
        <x:v>三宅村営バス</x:v>
      </x:c>
      <x:c r="I195" s="29" t="str">
        <x:v>対象</x:v>
      </x:c>
      <x:c r="J195" s="29" t="n">
        <x:v>194</x:v>
      </x:c>
      <x:c r="K195" s="34" t="str">
        <x:v>https://www.toshiseibi1.metro.tokyo.lg.jp/bunyabetsu/kotsu_butsuryu/pdf/index_koutuu_01.xlsx</x:v>
      </x:c>
      <x:c r="L195" s="32" t="n">
        <x:v>46256</x:v>
      </x:c>
    </x:row>
    <x:row r="196" ht="40" customHeight="1">
      <x:c r="A196" s="29" t="str">
        <x:v>R193</x:v>
      </x:c>
      <x:c r="B196" s="29" t="str">
        <x:v>S070</x:v>
      </x:c>
      <x:c r="C196" s="29" t="str">
        <x:v>島しょ</x:v>
      </x:c>
      <x:c r="D196" s="29" t="str">
        <x:v>三宅村</x:v>
      </x:c>
      <x:c r="E196" s="29" t="str">
        <x:v>三宅村営バス</x:v>
      </x:c>
      <x:c r="F196" s="29" t="str">
        <x:v>一般路線（左回り）6系統</x:v>
      </x:c>
      <x:c r="G196" s="29" t="str">
        <x:v>距離制</x:v>
      </x:c>
      <x:c r="H196" s="29" t="str">
        <x:v>三宅村営バス</x:v>
      </x:c>
      <x:c r="I196" s="29" t="str">
        <x:v>対象</x:v>
      </x:c>
      <x:c r="J196" s="29" t="n">
        <x:v>195</x:v>
      </x:c>
      <x:c r="K196" s="34" t="str">
        <x:v>https://www.toshiseibi1.metro.tokyo.lg.jp/bunyabetsu/kotsu_butsuryu/pdf/index_koutuu_01.xlsx</x:v>
      </x:c>
      <x:c r="L196" s="32" t="n">
        <x:v>46256</x:v>
      </x:c>
    </x:row>
    <x:row r="197" ht="40" customHeight="1">
      <x:c r="A197" s="29" t="str">
        <x:v>R194</x:v>
      </x:c>
      <x:c r="B197" s="29" t="str">
        <x:v>S071</x:v>
      </x:c>
      <x:c r="C197" s="29" t="str">
        <x:v>島しょ</x:v>
      </x:c>
      <x:c r="D197" s="29" t="str">
        <x:v>小笠原村</x:v>
      </x:c>
      <x:c r="E197" s="29" t="str">
        <x:v>村営バス</x:v>
      </x:c>
      <x:c r="F197" s="29" t="str">
        <x:v>扇浦線・ 大村～奥村循環線</x:v>
      </x:c>
      <x:c r="G197" s="29" t="str">
        <x:v>大人２００円 小人１００円</x:v>
      </x:c>
      <x:c r="H197" s="29" t="str">
        <x:v>村営バス</x:v>
      </x:c>
      <x:c r="I197" s="29" t="str">
        <x:v>対象</x:v>
      </x:c>
      <x:c r="J197" s="29" t="n">
        <x:v>196</x:v>
      </x:c>
      <x:c r="K197" s="34" t="str">
        <x:v>https://www.toshiseibi1.metro.tokyo.lg.jp/bunyabetsu/kotsu_butsuryu/pdf/index_koutuu_01.xlsx</x:v>
      </x:c>
      <x:c r="L197" s="32" t="n">
        <x:v>46256</x:v>
      </x:c>
    </x:row>
  </x:sheetData>
  <x:mergeCells>
    <x:mergeCell ref="A1:L1"/>
    <x:mergeCell ref="A2:L2"/>
  </x:mergeCells>
  <x:pageMargins left="0.7" right="0.7" top="0.75" bottom="0.75" header="0.3" footer="0.3"/>
  <x:tableParts count="1">
    <x:tablePart xmlns:r="http://schemas.openxmlformats.org/officeDocument/2006/relationships" r:id="R7c529e4492264efa"/>
  </x:tableParts>
</x:worksheet>
</file>

<file path=xl/worksheets/sheet4.xml><?xml version="1.0" encoding="utf-8"?>
<x:worksheet xmlns:x="http://schemas.openxmlformats.org/spreadsheetml/2006/main">
  <x:sheetFormatPr defaultRowHeight="15"/>
  <x:cols>
    <x:col min="1" max="1" width="9" hidden="0" customWidth="1"/>
    <x:col min="2" max="2" width="13" hidden="0" customWidth="1"/>
    <x:col min="3" max="3" width="12" hidden="0" customWidth="1"/>
    <x:col min="4" max="4" width="28" hidden="0" customWidth="1"/>
    <x:col min="5" max="5" width="36" hidden="0" customWidth="1"/>
    <x:col min="6" max="6" width="30" hidden="0" customWidth="1"/>
    <x:col min="7" max="7" width="48" hidden="0" customWidth="1"/>
    <x:col min="8" max="8" width="23" hidden="0" customWidth="1"/>
    <x:col min="9" max="9" width="18" hidden="0" customWidth="1"/>
    <x:col min="10" max="10" width="12" hidden="0" customWidth="1"/>
    <x:col min="11" max="11" width="12" hidden="0" customWidth="1"/>
    <x:col min="12" max="12" width="12" hidden="0" customWidth="1"/>
    <x:col min="13" max="13" width="12" hidden="0" customWidth="1"/>
    <x:col min="14" max="14" width="10" hidden="0" customWidth="1"/>
    <x:col min="15" max="15" width="44" hidden="0" customWidth="1"/>
    <x:col min="16" max="16" width="44" hidden="0" customWidth="1"/>
    <x:col min="17" max="17" width="36" hidden="0" customWidth="1"/>
    <x:col min="18" max="18" width="14" hidden="0" customWidth="1"/>
    <x:col min="19" max="19" width="11" hidden="0" customWidth="1"/>
    <x:col min="20" max="20" width="48" hidden="0" customWidth="1"/>
    <x:col min="21" max="21" width="42" hidden="0" customWidth="1"/>
    <x:col min="22" max="22" width="38" hidden="0" customWidth="1"/>
    <x:col min="23" max="23" width="12" hidden="0" customWidth="1"/>
  </x:cols>
  <x:sheetData>
    <x:row r="1" ht="30" customHeight="1">
      <x:c r="A1" s="5" t="str">
        <x:v>GTFS 個別フィード調査台帳</x:v>
      </x:c>
      <x:c r="B1" s="5"/>
      <x:c r="C1" s="5"/>
      <x:c r="D1" s="5"/>
      <x:c r="E1" s="5"/>
      <x:c r="F1" s="5"/>
      <x:c r="G1" s="5"/>
      <x:c r="H1" s="5"/>
      <x:c r="I1" s="5"/>
      <x:c r="J1" s="5"/>
      <x:c r="K1" s="5"/>
      <x:c r="L1" s="5"/>
      <x:c r="M1" s="5"/>
      <x:c r="N1" s="5"/>
      <x:c r="O1" s="5"/>
      <x:c r="P1" s="5"/>
      <x:c r="Q1" s="5"/>
      <x:c r="R1" s="5"/>
      <x:c r="S1" s="5"/>
      <x:c r="T1" s="5"/>
      <x:c r="U1" s="5"/>
      <x:c r="V1" s="5"/>
      <x:c r="W1" s="5"/>
    </x:row>
    <x:row r="2" ht="22" customHeight="1">
      <x:c r="A2" s="13" t="str">
        <x:v>現行性・アクセス・ライセンス・有効期間・GTFS-RTを分離して管理／確認基準日 2026-08-22</x:v>
      </x:c>
      <x:c r="B2" s="13"/>
      <x:c r="C2" s="13"/>
      <x:c r="D2" s="13"/>
      <x:c r="E2" s="13"/>
      <x:c r="F2" s="13"/>
      <x:c r="G2" s="13"/>
      <x:c r="H2" s="13"/>
      <x:c r="I2" s="13"/>
      <x:c r="J2" s="13"/>
      <x:c r="K2" s="13"/>
      <x:c r="L2" s="13"/>
      <x:c r="M2" s="13"/>
      <x:c r="N2" s="13"/>
      <x:c r="O2" s="13"/>
      <x:c r="P2" s="13"/>
      <x:c r="Q2" s="13"/>
      <x:c r="R2" s="13"/>
      <x:c r="S2" s="13"/>
      <x:c r="T2" s="13"/>
      <x:c r="U2" s="13"/>
      <x:c r="V2" s="13"/>
      <x:c r="W2" s="13"/>
    </x:row>
    <x:row r="3" ht="36" customHeight="1">
      <x:c r="A3" s="36" t="str">
        <x:v>Feed ID</x:v>
      </x:c>
      <x:c r="B3" s="36" t="str">
        <x:v>区分</x:v>
      </x:c>
      <x:c r="C3" s="36" t="str">
        <x:v>自治体</x:v>
      </x:c>
      <x:c r="D3" s="36" t="str">
        <x:v>フィード名</x:v>
      </x:c>
      <x:c r="E3" s="36" t="str">
        <x:v>対象サービス</x:v>
      </x:c>
      <x:c r="F3" s="36" t="str">
        <x:v>カバー範囲</x:v>
      </x:c>
      <x:c r="G3" s="36" t="str">
        <x:v>静的GTFS URL</x:v>
      </x:c>
      <x:c r="H3" s="36" t="str">
        <x:v>アクセス</x:v>
      </x:c>
      <x:c r="I3" s="36" t="str">
        <x:v>ライセンス</x:v>
      </x:c>
      <x:c r="J3" s="36" t="str">
        <x:v>最終更新</x:v>
      </x:c>
      <x:c r="K3" s="36" t="str">
        <x:v>有効開始</x:v>
      </x:c>
      <x:c r="L3" s="36" t="str">
        <x:v>有効終了</x:v>
      </x:c>
      <x:c r="M3" s="36" t="str">
        <x:v>次期開始</x:v>
      </x:c>
      <x:c r="N3" s="36" t="str">
        <x:v>停留所数</x:v>
      </x:c>
      <x:c r="O3" s="36" t="str">
        <x:v>RT TripUpdate</x:v>
      </x:c>
      <x:c r="P3" s="36" t="str">
        <x:v>RT VehiclePosition</x:v>
      </x:c>
      <x:c r="Q3" s="36" t="str">
        <x:v>RT Alert</x:v>
      </x:c>
      <x:c r="R3" s="36" t="str">
        <x:v>有効判定</x:v>
      </x:c>
      <x:c r="S3" s="36" t="str">
        <x:v>GTFS-RT</x:v>
      </x:c>
      <x:c r="T3" s="36" t="str">
        <x:v>実装メモ</x:v>
      </x:c>
      <x:c r="U3" s="36" t="str">
        <x:v>公式URL</x:v>
      </x:c>
      <x:c r="V3" s="36" t="str">
        <x:v>調査ソースURL</x:v>
      </x:c>
      <x:c r="W3" s="36" t="str">
        <x:v>確認日</x:v>
      </x:c>
    </x:row>
    <x:row r="4" ht="54" customHeight="1">
      <x:c r="A4" s="29" t="str">
        <x:v>F001</x:v>
      </x:c>
      <x:c r="B4" s="29" t="str">
        <x:v>コア</x:v>
      </x:c>
      <x:c r="C4" s="29" t="str">
        <x:v>渋谷区</x:v>
      </x:c>
      <x:c r="D4" s="29" t="str">
        <x:v>ハチ公バス</x:v>
      </x:c>
      <x:c r="E4" s="29" t="str">
        <x:v>渋谷区:ハチ公バス</x:v>
      </x:c>
      <x:c r="F4" s="29" t="str">
        <x:v>全路線想定</x:v>
      </x:c>
      <x:c r="G4" s="34" t="str">
        <x:v>https://www.arcgis.com/sharing/rest/content/items/185d0dbc980443b8b60e135349e2ae5e/data</x:v>
      </x:c>
      <x:c r="H4" s="29" t="str">
        <x:v>公開・キー不要</x:v>
      </x:c>
      <x:c r="I4" s="29" t="str">
        <x:v>CC BY 4.0</x:v>
      </x:c>
      <x:c r="J4" s="32" t="n">
        <x:v>45462</x:v>
      </x:c>
      <x:c r="K4" s="32" t="n">
        <x:v>45460</x:v>
      </x:c>
      <x:c r="L4" s="32" t="n">
        <x:v>47573</x:v>
      </x:c>
      <x:c r="M4" s="32"/>
      <x:c r="N4" s="29" t="n">
        <x:v>141</x:v>
      </x:c>
      <x:c r="O4" s="34" t="str"/>
      <x:c r="P4" s="34" t="str"/>
      <x:c r="Q4" s="34" t="str"/>
      <x:c r="R4" s="29" t="str">
        <x:f>IF(L4="","終了日未記載",IF(L4&lt;'調査概要'!$B$3,"期限切れ",IF(L4&lt;='調査概要'!$B$3+60,"60日以内","有効")))</x:f>
        <x:v>有効</x:v>
      </x:c>
      <x:c r="S4" s="29" t="str">
        <x:f>IF(OR(O4&lt;&gt;"",P4&lt;&gt;"",Q4&lt;&gt;""),"あり","なし")</x:f>
        <x:v>なし</x:v>
      </x:c>
      <x:c r="T4" s="29" t="str">
        <x:v>長期有効。MVPの初期取り込み候補。</x:v>
      </x:c>
      <x:c r="U4" s="34" t="str">
        <x:v>https://www.city.shibuya.tokyo.jp/kurashi/kotsu/hachiko_bus/index.html?=20170605yokumi</x:v>
      </x:c>
      <x:c r="V4" s="34" t="str">
        <x:v>https://bustime.jp/GtfsAgency/gtfs_list/</x:v>
      </x:c>
      <x:c r="W4" s="32" t="n">
        <x:v>46256</x:v>
      </x:c>
    </x:row>
    <x:row r="5" ht="54" customHeight="1">
      <x:c r="A5" s="29" t="str">
        <x:v>F002</x:v>
      </x:c>
      <x:c r="B5" s="29" t="str">
        <x:v>コア</x:v>
      </x:c>
      <x:c r="C5" s="29" t="str">
        <x:v>港区</x:v>
      </x:c>
      <x:c r="D5" s="29" t="str">
        <x:v>ちぃばす</x:v>
      </x:c>
      <x:c r="E5" s="29" t="str">
        <x:v>港区:ちぃばす</x:v>
      </x:c>
      <x:c r="F5" s="29" t="str">
        <x:v>全路線想定</x:v>
      </x:c>
      <x:c r="G5" s="34" t="str">
        <x:v>https://gtfs-jp.buskita.com/fxc/gtfs.zip</x:v>
      </x:c>
      <x:c r="H5" s="29" t="str">
        <x:v>公開・キー不要</x:v>
      </x:c>
      <x:c r="I5" s="29" t="str">
        <x:v>要確認</x:v>
      </x:c>
      <x:c r="J5" s="32" t="n">
        <x:v>46223</x:v>
      </x:c>
      <x:c r="K5" s="32" t="n">
        <x:v>46113</x:v>
      </x:c>
      <x:c r="L5" s="32" t="n">
        <x:v>46387</x:v>
      </x:c>
      <x:c r="M5" s="32"/>
      <x:c r="N5" s="29" t="n">
        <x:v>218</x:v>
      </x:c>
      <x:c r="O5" s="34" t="str"/>
      <x:c r="P5" s="34" t="str"/>
      <x:c r="Q5" s="34" t="str"/>
      <x:c r="R5" s="29" t="str">
        <x:f>IF(L5="","終了日未記載",IF(L5&lt;'調査概要'!$B$3,"期限切れ",IF(L5&lt;='調査概要'!$B$3+60,"60日以内","有効")))</x:f>
        <x:v>有効</x:v>
      </x:c>
      <x:c r="S5" s="29" t="str">
        <x:f>IF(OR(O5&lt;&gt;"",P5&lt;&gt;"",Q5&lt;&gt;""),"あり","なし")</x:f>
        <x:v>なし</x:v>
      </x:c>
      <x:c r="T5" s="29" t="str">
        <x:v>利用規約・帰属表示条件を公開元で確認してから本番利用。</x:v>
      </x:c>
      <x:c r="U5" s="34" t="str">
        <x:v>https://www.city.minato.tokyo.jp/tiikikoututan/traffic_strategy.html</x:v>
      </x:c>
      <x:c r="V5" s="34" t="str">
        <x:v>https://bustime.jp/GtfsAgency/gtfs_list/</x:v>
      </x:c>
      <x:c r="W5" s="32" t="n">
        <x:v>46256</x:v>
      </x:c>
    </x:row>
    <x:row r="6" ht="54" customHeight="1">
      <x:c r="A6" s="29" t="str">
        <x:v>F003</x:v>
      </x:c>
      <x:c r="B6" s="29" t="str">
        <x:v>コア</x:v>
      </x:c>
      <x:c r="C6" s="29" t="str">
        <x:v>文京区</x:v>
      </x:c>
      <x:c r="D6" s="29" t="str">
        <x:v>Bーぐる</x:v>
      </x:c>
      <x:c r="E6" s="29" t="str">
        <x:v>文京区:B－ぐる</x:v>
      </x:c>
      <x:c r="F6" s="29" t="str">
        <x:v>全路線想定</x:v>
      </x:c>
      <x:c r="G6" s="34" t="str">
        <x:v>https://api-public.odpt.org/api/v4/files/odpt/HitachiAutomobileTransportation/AllLines.zip?date=current</x:v>
      </x:c>
      <x:c r="H6" s="29" t="str">
        <x:v>公開・キー不要</x:v>
      </x:c>
      <x:c r="I6" s="29" t="str">
        <x:v>CC BY 4.0</x:v>
      </x:c>
      <x:c r="J6" s="32" t="n">
        <x:v>46113</x:v>
      </x:c>
      <x:c r="K6" s="32" t="n">
        <x:v>46113</x:v>
      </x:c>
      <x:c r="L6" s="32" t="n">
        <x:v>46752</x:v>
      </x:c>
      <x:c r="M6" s="32"/>
      <x:c r="N6" s="29" t="n">
        <x:v>90</x:v>
      </x:c>
      <x:c r="O6" s="34" t="str"/>
      <x:c r="P6" s="34" t="str"/>
      <x:c r="Q6" s="34" t="str"/>
      <x:c r="R6" s="29" t="str">
        <x:f>IF(L6="","終了日未記載",IF(L6&lt;'調査概要'!$B$3,"期限切れ",IF(L6&lt;='調査概要'!$B$3+60,"60日以内","有効")))</x:f>
        <x:v>有効</x:v>
      </x:c>
      <x:c r="S6" s="29" t="str">
        <x:f>IF(OR(O6&lt;&gt;"",P6&lt;&gt;"",Q6&lt;&gt;""),"あり","なし")</x:f>
        <x:v>なし</x:v>
      </x:c>
      <x:c r="T6" s="29" t="str">
        <x:v>日立自動車交通の当該フィード。routes.txtでBーぐるのみを抽出。</x:v>
      </x:c>
      <x:c r="U6" s="34" t="str">
        <x:v>https://www.city.bunkyo.lg.jp/tetsuzuki/bus/b-guru.html</x:v>
      </x:c>
      <x:c r="V6" s="34" t="str">
        <x:v>https://bustime.jp/GtfsAgency/gtfs_list/</x:v>
      </x:c>
      <x:c r="W6" s="32" t="n">
        <x:v>46256</x:v>
      </x:c>
    </x:row>
    <x:row r="7" ht="54" customHeight="1">
      <x:c r="A7" s="29" t="str">
        <x:v>F004</x:v>
      </x:c>
      <x:c r="B7" s="29" t="str">
        <x:v>コア</x:v>
      </x:c>
      <x:c r="C7" s="29" t="str">
        <x:v>中央区</x:v>
      </x:c>
      <x:c r="D7" s="29" t="str">
        <x:v>江戸バス</x:v>
      </x:c>
      <x:c r="E7" s="29" t="str">
        <x:v>中央区:江戸バス</x:v>
      </x:c>
      <x:c r="F7" s="29" t="str">
        <x:v>全路線想定</x:v>
      </x:c>
      <x:c r="G7" s="34" t="str">
        <x:v>https://api.odpt.org/api/v4/files/odpt/TokyoChuoCity/Alldata.zip?acl%3AconsumerKey=&amp;date=current</x:v>
      </x:c>
      <x:c r="H7" s="29" t="str">
        <x:v>ODPT利用登録・キー</x:v>
      </x:c>
      <x:c r="I7" s="29" t="str">
        <x:v>ODPT利用規約</x:v>
      </x:c>
      <x:c r="J7" s="32" t="n">
        <x:v>46220</x:v>
      </x:c>
      <x:c r="K7" s="32" t="n">
        <x:v>46218</x:v>
      </x:c>
      <x:c r="L7" s="32" t="n">
        <x:v>46934</x:v>
      </x:c>
      <x:c r="M7" s="32"/>
      <x:c r="N7" s="29" t="n">
        <x:v>73</x:v>
      </x:c>
      <x:c r="O7" s="34" t="str"/>
      <x:c r="P7" s="34" t="str"/>
      <x:c r="Q7" s="34" t="str"/>
      <x:c r="R7" s="29" t="str">
        <x:f>IF(L7="","終了日未記載",IF(L7&lt;'調査概要'!$B$3,"期限切れ",IF(L7&lt;='調査概要'!$B$3+60,"60日以内","有効")))</x:f>
        <x:v>有効</x:v>
      </x:c>
      <x:c r="S7" s="29" t="str">
        <x:f>IF(OR(O7&lt;&gt;"",P7&lt;&gt;"",Q7&lt;&gt;""),"あり","なし")</x:f>
        <x:v>なし</x:v>
      </x:c>
      <x:c r="T7" s="29" t="str">
        <x:v>consumerKeyをサーバー側で管理する。クライアントへ埋め込まない。</x:v>
      </x:c>
      <x:c r="U7" s="34" t="str">
        <x:v>https://www.city.chuo.lg.jp/kurashi/koutsuu/koukyoukoutsuu/edobasu/index.html</x:v>
      </x:c>
      <x:c r="V7" s="34" t="str">
        <x:v>https://bustime.jp/GtfsAgency/gtfs_list/</x:v>
      </x:c>
      <x:c r="W7" s="32" t="n">
        <x:v>46256</x:v>
      </x:c>
    </x:row>
    <x:row r="8" ht="54" customHeight="1">
      <x:c r="A8" s="29" t="str">
        <x:v>F005</x:v>
      </x:c>
      <x:c r="B8" s="29" t="str">
        <x:v>コア</x:v>
      </x:c>
      <x:c r="C8" s="29" t="str">
        <x:v>北区</x:v>
      </x:c>
      <x:c r="D8" s="29" t="str">
        <x:v>Kバス</x:v>
      </x:c>
      <x:c r="E8" s="29" t="str">
        <x:v>北区:Ｋバス</x:v>
      </x:c>
      <x:c r="F8" s="29" t="str">
        <x:v>王子・駒込／田端循環／浮間</x:v>
      </x:c>
      <x:c r="G8" s="34" t="str">
        <x:v>https://api-public.odpt.org/api/v4/files/odpt/HitachiAutomobileTransportation/KitaAllLines.zip?date=current</x:v>
      </x:c>
      <x:c r="H8" s="29" t="str">
        <x:v>公開・キー不要</x:v>
      </x:c>
      <x:c r="I8" s="29" t="str">
        <x:v>CC BY 4.0</x:v>
      </x:c>
      <x:c r="J8" s="32" t="n">
        <x:v>46029</x:v>
      </x:c>
      <x:c r="K8" s="32" t="n">
        <x:v>46011</x:v>
      </x:c>
      <x:c r="L8" s="32" t="n">
        <x:v>46387</x:v>
      </x:c>
      <x:c r="M8" s="32"/>
      <x:c r="N8" s="29" t="n">
        <x:v>61</x:v>
      </x:c>
      <x:c r="O8" s="34" t="str"/>
      <x:c r="P8" s="34" t="str"/>
      <x:c r="Q8" s="34" t="str"/>
      <x:c r="R8" s="29" t="str">
        <x:f>IF(L8="","終了日未記載",IF(L8&lt;'調査概要'!$B$3,"期限切れ",IF(L8&lt;='調査概要'!$B$3+60,"60日以内","有効")))</x:f>
        <x:v>有効</x:v>
      </x:c>
      <x:c r="S8" s="29" t="str">
        <x:f>IF(OR(O8&lt;&gt;"",P8&lt;&gt;"",Q8&lt;&gt;""),"あり","なし")</x:f>
        <x:v>なし</x:v>
      </x:c>
      <x:c r="T8" s="29" t="str">
        <x:v>静的GTFSは公開。車両位置はBus Goの閲覧画面があるが、公開GTFS-RTは未確認。</x:v>
      </x:c>
      <x:c r="U8" s="34" t="str">
        <x:v>https://www.city.kita.tokyo.jp/kurashi/bus/index.html</x:v>
      </x:c>
      <x:c r="V8" s="34" t="str">
        <x:v>https://bustime.jp/GtfsAgency/gtfs_list/</x:v>
      </x:c>
      <x:c r="W8" s="32" t="n">
        <x:v>46256</x:v>
      </x:c>
    </x:row>
    <x:row r="9" ht="54" customHeight="1">
      <x:c r="A9" s="29" t="str">
        <x:v>F006</x:v>
      </x:c>
      <x:c r="B9" s="29" t="str">
        <x:v>コア</x:v>
      </x:c>
      <x:c r="C9" s="29" t="str">
        <x:v>品川区</x:v>
      </x:c>
      <x:c r="D9" s="29" t="str">
        <x:v>しなバス</x:v>
      </x:c>
      <x:c r="E9" s="29" t="str">
        <x:v>品川区:しなバス</x:v>
      </x:c>
      <x:c r="F9" s="29" t="str">
        <x:v>全路線想定</x:v>
      </x:c>
      <x:c r="G9" s="34" t="str">
        <x:v>https://api.odpt.org/api/v4/files/odpt/TokyuBus/tokyubus_community_ShinagawaCity.zip?acl%3AconsumerKey=&amp;date=current</x:v>
      </x:c>
      <x:c r="H9" s="29" t="str">
        <x:v>ODPT利用登録・キー</x:v>
      </x:c>
      <x:c r="I9" s="29" t="str">
        <x:v>ODPT利用規約</x:v>
      </x:c>
      <x:c r="J9" s="32" t="n">
        <x:v>46170</x:v>
      </x:c>
      <x:c r="K9" s="32" t="n">
        <x:v>46174</x:v>
      </x:c>
      <x:c r="L9" s="32" t="n">
        <x:v>46295</x:v>
      </x:c>
      <x:c r="M9" s="32"/>
      <x:c r="N9" s="29" t="n">
        <x:v>17</x:v>
      </x:c>
      <x:c r="O9" s="34" t="str"/>
      <x:c r="P9" s="34" t="str"/>
      <x:c r="Q9" s="34" t="str"/>
      <x:c r="R9" s="29" t="str">
        <x:f>IF(L9="","終了日未記載",IF(L9&lt;'調査概要'!$B$3,"期限切れ",IF(L9&lt;='調査概要'!$B$3+60,"60日以内","有効")))</x:f>
        <x:v>60日以内</x:v>
      </x:c>
      <x:c r="S9" s="29" t="str">
        <x:f>IF(OR(O9&lt;&gt;"",P9&lt;&gt;"",Q9&lt;&gt;""),"あり","なし")</x:f>
        <x:v>なし</x:v>
      </x:c>
      <x:c r="T9" s="29" t="str">
        <x:v>有効終了が近い。更新監視を必須にする。</x:v>
      </x:c>
      <x:c r="U9" s="34" t="str">
        <x:v>https://www.city.shinagawa.tokyo.jp/PC/kankyo/kankyo-toshiseibi/20211220205530.html</x:v>
      </x:c>
      <x:c r="V9" s="34" t="str">
        <x:v>https://bustime.jp/GtfsAgency/gtfs_list/</x:v>
      </x:c>
      <x:c r="W9" s="32" t="n">
        <x:v>46256</x:v>
      </x:c>
    </x:row>
    <x:row r="10" ht="54" customHeight="1">
      <x:c r="A10" s="29" t="str">
        <x:v>F007</x:v>
      </x:c>
      <x:c r="B10" s="29" t="str">
        <x:v>コア</x:v>
      </x:c>
      <x:c r="C10" s="29" t="str">
        <x:v>大田区</x:v>
      </x:c>
      <x:c r="D10" s="29" t="str">
        <x:v>たまちゃん</x:v>
      </x:c>
      <x:c r="E10" s="29" t="str">
        <x:v>大田区:たまちゃんバス</x:v>
      </x:c>
      <x:c r="F10" s="29" t="str">
        <x:v>全路線想定</x:v>
      </x:c>
      <x:c r="G10" s="34" t="str">
        <x:v>https://api.odpt.org/api/v4/files/odpt/TokyuBus/tokyubus_community_OtaCity.zip?acl%3AconsumerKey=&amp;date=current</x:v>
      </x:c>
      <x:c r="H10" s="29" t="str">
        <x:v>ODPT利用登録・キー</x:v>
      </x:c>
      <x:c r="I10" s="29" t="str">
        <x:v>ODPT利用規約</x:v>
      </x:c>
      <x:c r="J10" s="32" t="n">
        <x:v>46170</x:v>
      </x:c>
      <x:c r="K10" s="32" t="n">
        <x:v>46174</x:v>
      </x:c>
      <x:c r="L10" s="32" t="n">
        <x:v>46295</x:v>
      </x:c>
      <x:c r="M10" s="32"/>
      <x:c r="N10" s="29" t="n">
        <x:v>14</x:v>
      </x:c>
      <x:c r="O10" s="34" t="str"/>
      <x:c r="P10" s="34" t="str"/>
      <x:c r="Q10" s="34" t="str"/>
      <x:c r="R10" s="29" t="str">
        <x:f>IF(L10="","終了日未記載",IF(L10&lt;'調査概要'!$B$3,"期限切れ",IF(L10&lt;='調査概要'!$B$3+60,"60日以内","有効")))</x:f>
        <x:v>60日以内</x:v>
      </x:c>
      <x:c r="S10" s="29" t="str">
        <x:f>IF(OR(O10&lt;&gt;"",P10&lt;&gt;"",Q10&lt;&gt;""),"あり","なし")</x:f>
        <x:v>なし</x:v>
      </x:c>
      <x:c r="T10" s="29" t="str">
        <x:v>有効終了が近い。更新監視を必須にする。</x:v>
      </x:c>
      <x:c r="U10" s="34" t="str">
        <x:v>https://www.city.ota.tokyo.jp/seikatsu/sumaimachinami/koutsu/communitybusdounyu/communitybusyaguti/communitybus_chiiki_yaguchi.html</x:v>
      </x:c>
      <x:c r="V10" s="34" t="str">
        <x:v>https://bustime.jp/GtfsAgency/gtfs_list/</x:v>
      </x:c>
      <x:c r="W10" s="32" t="n">
        <x:v>46256</x:v>
      </x:c>
    </x:row>
    <x:row r="11" ht="54" customHeight="1">
      <x:c r="A11" s="29" t="str">
        <x:v>F008</x:v>
      </x:c>
      <x:c r="B11" s="29" t="str">
        <x:v>コア</x:v>
      </x:c>
      <x:c r="C11" s="29" t="str">
        <x:v>板橋区</x:v>
      </x:c>
      <x:c r="D11" s="29" t="str">
        <x:v>りんりんGO</x:v>
      </x:c>
      <x:c r="E11" s="29" t="str">
        <x:v>板橋区:板橋区コミュニティバス りんりんGO</x:v>
      </x:c>
      <x:c r="F11" s="29" t="str">
        <x:v>全路線想定</x:v>
      </x:c>
      <x:c r="G11" s="34" t="str">
        <x:v>https://www.city.itabashi.tokyo.jp/_res/projects/default_project/_page_/001/006/732/rinringo_gtfs_20260401asshuku.zip</x:v>
      </x:c>
      <x:c r="H11" s="29" t="str">
        <x:v>公開・キー不要</x:v>
      </x:c>
      <x:c r="I11" s="29" t="str">
        <x:v>CC BY 4.0</x:v>
      </x:c>
      <x:c r="J11" s="32" t="n">
        <x:v>46162</x:v>
      </x:c>
      <x:c r="K11" s="32" t="n">
        <x:v>46113</x:v>
      </x:c>
      <x:c r="L11" s="32" t="n">
        <x:v>46843</x:v>
      </x:c>
      <x:c r="M11" s="32"/>
      <x:c r="N11" s="29" t="n">
        <x:v>19</x:v>
      </x:c>
      <x:c r="O11" s="34" t="str"/>
      <x:c r="P11" s="34" t="str"/>
      <x:c r="Q11" s="34" t="str"/>
      <x:c r="R11" s="29" t="str">
        <x:f>IF(L11="","終了日未記載",IF(L11&lt;'調査概要'!$B$3,"期限切れ",IF(L11&lt;='調査概要'!$B$3+60,"60日以内","有効")))</x:f>
        <x:v>有効</x:v>
      </x:c>
      <x:c r="S11" s="29" t="str">
        <x:f>IF(OR(O11&lt;&gt;"",P11&lt;&gt;"",Q11&lt;&gt;""),"あり","なし")</x:f>
        <x:v>なし</x:v>
      </x:c>
      <x:c r="T11" s="29" t="str">
        <x:v>自治体サイト直配布。</x:v>
      </x:c>
      <x:c r="U11" s="34" t="str">
        <x:v>https://www.city.itabashi.tokyo.jp/bousai/toshikeiakku/kotsu/index.html</x:v>
      </x:c>
      <x:c r="V11" s="34" t="str">
        <x:v>https://bustime.jp/GtfsAgency/gtfs_list/</x:v>
      </x:c>
      <x:c r="W11" s="32" t="n">
        <x:v>46256</x:v>
      </x:c>
    </x:row>
    <x:row r="12" ht="54" customHeight="1">
      <x:c r="A12" s="29" t="str">
        <x:v>F009</x:v>
      </x:c>
      <x:c r="B12" s="29" t="str">
        <x:v>コア</x:v>
      </x:c>
      <x:c r="C12" s="29" t="str">
        <x:v>葛飾区</x:v>
      </x:c>
      <x:c r="D12" s="29" t="str">
        <x:v>地域乗合タクシーさくら</x:v>
      </x:c>
      <x:c r="E12" s="29" t="str">
        <x:v>葛飾区:地域乗合タクシーさくら</x:v>
      </x:c>
      <x:c r="F12" s="29" t="str">
        <x:v>当該サービス</x:v>
      </x:c>
      <x:c r="G12" s="34" t="str">
        <x:v>https://api.gtfs-data.jp/v2/organizations/katsushikacity/feeds/sakura/files/feed.zip</x:v>
      </x:c>
      <x:c r="H12" s="29" t="str">
        <x:v>公開・キー不要</x:v>
      </x:c>
      <x:c r="I12" s="29" t="str">
        <x:v>CC BY 4.0</x:v>
      </x:c>
      <x:c r="J12" s="32" t="n">
        <x:v>46009</x:v>
      </x:c>
      <x:c r="K12" s="32" t="n">
        <x:v>46020</x:v>
      </x:c>
      <x:c r="L12" s="32" t="n">
        <x:v>46387</x:v>
      </x:c>
      <x:c r="M12" s="32"/>
      <x:c r="N12" s="29" t="n">
        <x:v>11</x:v>
      </x:c>
      <x:c r="O12" s="34" t="str"/>
      <x:c r="P12" s="34" t="str"/>
      <x:c r="Q12" s="34" t="str"/>
      <x:c r="R12" s="29" t="str">
        <x:f>IF(L12="","終了日未記載",IF(L12&lt;'調査概要'!$B$3,"期限切れ",IF(L12&lt;='調査概要'!$B$3+60,"60日以内","有効")))</x:f>
        <x:v>有効</x:v>
      </x:c>
      <x:c r="S12" s="29" t="str">
        <x:f>IF(OR(O12&lt;&gt;"",P12&lt;&gt;"",Q12&lt;&gt;""),"あり","なし")</x:f>
        <x:v>なし</x:v>
      </x:c>
      <x:c r="T12" s="29" t="str">
        <x:v>予約・乗合タクシー系。固定路線バスとはUI上で区別する。</x:v>
      </x:c>
      <x:c r="U12" s="34" t="str">
        <x:v>https://www.city.katsushika.lg.jp/planning/1030243/1003616/index.html</x:v>
      </x:c>
      <x:c r="V12" s="34" t="str">
        <x:v>https://bustime.jp/GtfsAgency/gtfs_list/</x:v>
      </x:c>
      <x:c r="W12" s="32" t="n">
        <x:v>46256</x:v>
      </x:c>
    </x:row>
    <x:row r="13" ht="54" customHeight="1">
      <x:c r="A13" s="29" t="str">
        <x:v>F010</x:v>
      </x:c>
      <x:c r="B13" s="29" t="str">
        <x:v>コア</x:v>
      </x:c>
      <x:c r="C13" s="29" t="str">
        <x:v>国分寺市</x:v>
      </x:c>
      <x:c r="D13" s="29" t="str">
        <x:v>ぶんバス</x:v>
      </x:c>
      <x:c r="E13" s="29" t="str">
        <x:v>国分寺市:国分寺市地域バス （ぶんバス）</x:v>
      </x:c>
      <x:c r="F13" s="29" t="str">
        <x:v>全路線想定</x:v>
      </x:c>
      <x:c r="G13" s="34" t="str">
        <x:v>https://api-public.odpt.org/api/v4/files/odpt/KokubunjiCity/kokubunji_city_bunbus.zip?date=current</x:v>
      </x:c>
      <x:c r="H13" s="29" t="str">
        <x:v>公開・キー不要</x:v>
      </x:c>
      <x:c r="I13" s="29" t="str">
        <x:v>CC BY 4.0</x:v>
      </x:c>
      <x:c r="J13" s="32" t="n">
        <x:v>46017</x:v>
      </x:c>
      <x:c r="K13" s="32" t="n">
        <x:v>46027</x:v>
      </x:c>
      <x:c r="L13" s="32" t="n">
        <x:v>46568</x:v>
      </x:c>
      <x:c r="M13" s="32"/>
      <x:c r="N13" s="29" t="n">
        <x:v>106</x:v>
      </x:c>
      <x:c r="O13" s="34" t="str"/>
      <x:c r="P13" s="34" t="str"/>
      <x:c r="Q13" s="34" t="str"/>
      <x:c r="R13" s="29" t="str">
        <x:f>IF(L13="","終了日未記載",IF(L13&lt;'調査概要'!$B$3,"期限切れ",IF(L13&lt;='調査概要'!$B$3+60,"60日以内","有効")))</x:f>
        <x:v>有効</x:v>
      </x:c>
      <x:c r="S13" s="29" t="str">
        <x:f>IF(OR(O13&lt;&gt;"",P13&lt;&gt;"",Q13&lt;&gt;""),"あり","なし")</x:f>
        <x:v>なし</x:v>
      </x:c>
      <x:c r="T13" s="29" t="str">
        <x:v>初期取り込み候補。</x:v>
      </x:c>
      <x:c r="U13" s="34" t="str">
        <x:v>https://www.city.kokubunji.tokyo.jp/kurashi/koutsuu/bus/1012086.html</x:v>
      </x:c>
      <x:c r="V13" s="34" t="str">
        <x:v>https://bustime.jp/GtfsAgency/gtfs_list/</x:v>
      </x:c>
      <x:c r="W13" s="32" t="n">
        <x:v>46256</x:v>
      </x:c>
    </x:row>
    <x:row r="14" ht="54" customHeight="1">
      <x:c r="A14" s="29" t="str">
        <x:v>F011</x:v>
      </x:c>
      <x:c r="B14" s="29" t="str">
        <x:v>コア</x:v>
      </x:c>
      <x:c r="C14" s="29" t="str">
        <x:v>国立市</x:v>
      </x:c>
      <x:c r="D14" s="29" t="str">
        <x:v>くにっこ</x:v>
      </x:c>
      <x:c r="E14" s="29" t="str">
        <x:v>国立市:くにっこ</x:v>
      </x:c>
      <x:c r="F14" s="29" t="str">
        <x:v>当該サービス</x:v>
      </x:c>
      <x:c r="G14" s="34" t="str">
        <x:v>https://api.gtfs-data.jp/v2/organizations/kunitachicity/feeds/kunikko/files/feed.zip</x:v>
      </x:c>
      <x:c r="H14" s="29" t="str">
        <x:v>公開・キー不要</x:v>
      </x:c>
      <x:c r="I14" s="29" t="str">
        <x:v>CC0 1.0</x:v>
      </x:c>
      <x:c r="J14" s="32" t="n">
        <x:v>46182</x:v>
      </x:c>
      <x:c r="K14" s="32" t="n">
        <x:v>46204</x:v>
      </x:c>
      <x:c r="L14" s="32" t="n">
        <x:v>46568</x:v>
      </x:c>
      <x:c r="M14" s="32" t="n">
        <x:v>46266</x:v>
      </x:c>
      <x:c r="N14" s="29" t="n">
        <x:v>51</x:v>
      </x:c>
      <x:c r="O14" s="34" t="str"/>
      <x:c r="P14" s="34" t="str"/>
      <x:c r="Q14" s="34" t="str"/>
      <x:c r="R14" s="29" t="str">
        <x:f>IF(L14="","終了日未記載",IF(L14&lt;'調査概要'!$B$3,"期限切れ",IF(L14&lt;='調査概要'!$B$3+60,"60日以内","有効")))</x:f>
        <x:v>有効</x:v>
      </x:c>
      <x:c r="S14" s="29" t="str">
        <x:f>IF(OR(O14&lt;&gt;"",P14&lt;&gt;"",Q14&lt;&gt;""),"あり","なし")</x:f>
        <x:v>なし</x:v>
      </x:c>
      <x:c r="T14" s="29" t="str">
        <x:v>次期フィード開始日が掲載されているため切替テストを行う。</x:v>
      </x:c>
      <x:c r="U14" s="34" t="str">
        <x:v>https://www.city.kunitachi.tokyo.jp/kurashi/kotsu/3/index.html</x:v>
      </x:c>
      <x:c r="V14" s="34" t="str">
        <x:v>https://bustime.jp/GtfsAgency/gtfs_list/</x:v>
      </x:c>
      <x:c r="W14" s="32" t="n">
        <x:v>46256</x:v>
      </x:c>
    </x:row>
    <x:row r="15" ht="54" customHeight="1">
      <x:c r="A15" s="29" t="str">
        <x:v>F012</x:v>
      </x:c>
      <x:c r="B15" s="29" t="str">
        <x:v>コア</x:v>
      </x:c>
      <x:c r="C15" s="29" t="str">
        <x:v>国立市</x:v>
      </x:c>
      <x:c r="D15" s="29" t="str">
        <x:v>あおやぎっこ</x:v>
      </x:c>
      <x:c r="E15" s="29" t="str">
        <x:v>国立市:あおやぎっこ</x:v>
      </x:c>
      <x:c r="F15" s="29" t="str">
        <x:v>当該サービス</x:v>
      </x:c>
      <x:c r="G15" s="34" t="str">
        <x:v>https://api.gtfs-data.jp/v2/organizations/kunitachicity/feeds/aoyagikko/files/feed.zip</x:v>
      </x:c>
      <x:c r="H15" s="29" t="str">
        <x:v>公開・キー不要</x:v>
      </x:c>
      <x:c r="I15" s="29" t="str">
        <x:v>CC BY 4.0</x:v>
      </x:c>
      <x:c r="J15" s="32" t="n">
        <x:v>46043</x:v>
      </x:c>
      <x:c r="K15" s="32" t="n">
        <x:v>46035</x:v>
      </x:c>
      <x:c r="L15" s="32" t="n">
        <x:v>46399</x:v>
      </x:c>
      <x:c r="M15" s="32"/>
      <x:c r="N15" s="29" t="n">
        <x:v>21</x:v>
      </x:c>
      <x:c r="O15" s="34" t="str"/>
      <x:c r="P15" s="34" t="str"/>
      <x:c r="Q15" s="34" t="str"/>
      <x:c r="R15" s="29" t="str">
        <x:f>IF(L15="","終了日未記載",IF(L15&lt;'調査概要'!$B$3,"期限切れ",IF(L15&lt;='調査概要'!$B$3+60,"60日以内","有効")))</x:f>
        <x:v>有効</x:v>
      </x:c>
      <x:c r="S15" s="29" t="str">
        <x:f>IF(OR(O15&lt;&gt;"",P15&lt;&gt;"",Q15&lt;&gt;""),"あり","なし")</x:f>
        <x:v>なし</x:v>
      </x:c>
      <x:c r="T15" s="29" t="str">
        <x:v>コミュニティワゴン。車両アイコン・運行方式を固定路線バスと区別。</x:v>
      </x:c>
      <x:c r="U15" s="34" t="str">
        <x:v>https://www.city.kunitachi.tokyo.jp/kurashi/kotsu/3/index.html</x:v>
      </x:c>
      <x:c r="V15" s="34" t="str">
        <x:v>https://bustime.jp/GtfsAgency/gtfs_list/</x:v>
      </x:c>
      <x:c r="W15" s="32" t="n">
        <x:v>46256</x:v>
      </x:c>
    </x:row>
    <x:row r="16" ht="54" customHeight="1">
      <x:c r="A16" s="29" t="str">
        <x:v>F013</x:v>
      </x:c>
      <x:c r="B16" s="29" t="str">
        <x:v>コア</x:v>
      </x:c>
      <x:c r="C16" s="29" t="str">
        <x:v>清瀬市</x:v>
      </x:c>
      <x:c r="D16" s="29" t="str">
        <x:v>きよバス</x:v>
      </x:c>
      <x:c r="E16" s="29" t="str">
        <x:v>清瀬市:きよバス</x:v>
      </x:c>
      <x:c r="F16" s="29" t="str">
        <x:v>全路線想定</x:v>
      </x:c>
      <x:c r="G16" s="34" t="str">
        <x:v>https://api-public.odpt.org/api/v4/files/odpt/KiyoseCity/KiyoBus.zip?date=current</x:v>
      </x:c>
      <x:c r="H16" s="29" t="str">
        <x:v>公開・キー不要</x:v>
      </x:c>
      <x:c r="I16" s="29" t="str">
        <x:v>CC BY 4.0</x:v>
      </x:c>
      <x:c r="J16" s="32" t="n">
        <x:v>46114</x:v>
      </x:c>
      <x:c r="K16" s="32" t="n">
        <x:v>46113</x:v>
      </x:c>
      <x:c r="L16" s="32" t="n">
        <x:v>46477</x:v>
      </x:c>
      <x:c r="M16" s="32"/>
      <x:c r="N16" s="29" t="n">
        <x:v>57</x:v>
      </x:c>
      <x:c r="O16" s="34" t="str">
        <x:v>https://api-public.odpt.org/api/v4/gtfs/realtime/odpt_KiyoseCity_KiyoBus_trip_update</x:v>
      </x:c>
      <x:c r="P16" s="34" t="str">
        <x:v>https://api-public.odpt.org/api/v4/gtfs/realtime/odpt_KiyoseCity_KiyoBus_vehicle</x:v>
      </x:c>
      <x:c r="Q16" s="34" t="str"/>
      <x:c r="R16" s="29" t="str">
        <x:f>IF(L16="","終了日未記載",IF(L16&lt;'調査概要'!$B$3,"期限切れ",IF(L16&lt;='調査概要'!$B$3+60,"60日以内","有効")))</x:f>
        <x:v>有効</x:v>
      </x:c>
      <x:c r="S16" s="29" t="str">
        <x:f>IF(OR(O16&lt;&gt;"",P16&lt;&gt;"",Q16&lt;&gt;""),"あり","なし")</x:f>
        <x:v>あり</x:v>
      </x:c>
      <x:c r="T16" s="29" t="str">
        <x:v>公開GTFS-RTあり。ライブ車両表示の参照実装に向く。</x:v>
      </x:c>
      <x:c r="U16" s="34" t="str">
        <x:v>https://www.city.kiyose.lg.jp/kurashi/sumaidourokoutuu/communitybus/1003943.html</x:v>
      </x:c>
      <x:c r="V16" s="34" t="str">
        <x:v>https://bustime.jp/GtfsAgency/gtfs_list/</x:v>
      </x:c>
      <x:c r="W16" s="32" t="n">
        <x:v>46256</x:v>
      </x:c>
    </x:row>
    <x:row r="17" ht="54" customHeight="1">
      <x:c r="A17" s="29" t="str">
        <x:v>F014</x:v>
      </x:c>
      <x:c r="B17" s="29" t="str">
        <x:v>コア</x:v>
      </x:c>
      <x:c r="C17" s="29" t="str">
        <x:v>立川市</x:v>
      </x:c>
      <x:c r="D17" s="29" t="str">
        <x:v>くるりん</x:v>
      </x:c>
      <x:c r="E17" s="29" t="str">
        <x:v>立川市:くるりんバス</x:v>
      </x:c>
      <x:c r="F17" s="29" t="str">
        <x:v>全路線想定</x:v>
      </x:c>
      <x:c r="G17" s="34" t="str">
        <x:v>https://api.gtfs-data.jp/v2/organizations/tachikawacity/feeds/kururinbus/files/feed.zip</x:v>
      </x:c>
      <x:c r="H17" s="29" t="str">
        <x:v>公開・キー不要</x:v>
      </x:c>
      <x:c r="I17" s="29" t="str">
        <x:v>CC BY 4.0</x:v>
      </x:c>
      <x:c r="J17" s="32" t="n">
        <x:v>46111</x:v>
      </x:c>
      <x:c r="K17" s="32" t="n">
        <x:v>46113</x:v>
      </x:c>
      <x:c r="L17" s="32" t="n">
        <x:v>46477</x:v>
      </x:c>
      <x:c r="M17" s="32"/>
      <x:c r="N17" s="29" t="n">
        <x:v>90</x:v>
      </x:c>
      <x:c r="O17" s="34" t="str"/>
      <x:c r="P17" s="34" t="str"/>
      <x:c r="Q17" s="34" t="str"/>
      <x:c r="R17" s="29" t="str">
        <x:f>IF(L17="","終了日未記載",IF(L17&lt;'調査概要'!$B$3,"期限切れ",IF(L17&lt;='調査概要'!$B$3+60,"60日以内","有効")))</x:f>
        <x:v>有効</x:v>
      </x:c>
      <x:c r="S17" s="29" t="str">
        <x:f>IF(OR(O17&lt;&gt;"",P17&lt;&gt;"",Q17&lt;&gt;""),"あり","なし")</x:f>
        <x:v>なし</x:v>
      </x:c>
      <x:c r="T17" s="29" t="str">
        <x:v>初期取り込み候補。</x:v>
      </x:c>
      <x:c r="U17" s="34" t="str">
        <x:v>https://www.city.tachikawa.lg.jp/kotsutaisaku/kururinnsaihenn.html</x:v>
      </x:c>
      <x:c r="V17" s="34" t="str">
        <x:v>https://bustime.jp/GtfsAgency/gtfs_list/</x:v>
      </x:c>
      <x:c r="W17" s="32" t="n">
        <x:v>46256</x:v>
      </x:c>
    </x:row>
    <x:row r="18" ht="54" customHeight="1">
      <x:c r="A18" s="29" t="str">
        <x:v>F015</x:v>
      </x:c>
      <x:c r="B18" s="29" t="str">
        <x:v>コア</x:v>
      </x:c>
      <x:c r="C18" s="29" t="str">
        <x:v>東村山市</x:v>
      </x:c>
      <x:c r="D18" s="29" t="str">
        <x:v>グリーンバス</x:v>
      </x:c>
      <x:c r="E18" s="29" t="str">
        <x:v>東村山市:グリーンバス</x:v>
      </x:c>
      <x:c r="F18" s="29" t="str">
        <x:v>全路線想定</x:v>
      </x:c>
      <x:c r="G18" s="34" t="str">
        <x:v>https://api-public.odpt.org/api/v4/files/odpt/HigashiMurayamaCity/Alllines.zip?date=current</x:v>
      </x:c>
      <x:c r="H18" s="29" t="str">
        <x:v>公開・キー不要</x:v>
      </x:c>
      <x:c r="I18" s="29" t="str">
        <x:v>CC BY 4.0</x:v>
      </x:c>
      <x:c r="J18" s="32" t="n">
        <x:v>46128</x:v>
      </x:c>
      <x:c r="K18" s="32" t="n">
        <x:v>46113</x:v>
      </x:c>
      <x:c r="L18" s="32" t="n">
        <x:v>46843</x:v>
      </x:c>
      <x:c r="M18" s="32"/>
      <x:c r="N18" s="29" t="n">
        <x:v>101</x:v>
      </x:c>
      <x:c r="O18" s="34" t="str"/>
      <x:c r="P18" s="34" t="str"/>
      <x:c r="Q18" s="34" t="str"/>
      <x:c r="R18" s="29" t="str">
        <x:f>IF(L18="","終了日未記載",IF(L18&lt;'調査概要'!$B$3,"期限切れ",IF(L18&lt;='調査概要'!$B$3+60,"60日以内","有効")))</x:f>
        <x:v>有効</x:v>
      </x:c>
      <x:c r="S18" s="29" t="str">
        <x:f>IF(OR(O18&lt;&gt;"",P18&lt;&gt;"",Q18&lt;&gt;""),"あり","なし")</x:f>
        <x:v>なし</x:v>
      </x:c>
      <x:c r="T18" s="29" t="str">
        <x:v>初期取り込み候補。</x:v>
      </x:c>
      <x:c r="U18" s="34" t="str">
        <x:v>https://www.city.higashimurayama.tokyo.jp/kurashi/sumai/bus/index.html</x:v>
      </x:c>
      <x:c r="V18" s="34" t="str">
        <x:v>https://bustime.jp/GtfsAgency/gtfs_list/</x:v>
      </x:c>
      <x:c r="W18" s="32" t="n">
        <x:v>46256</x:v>
      </x:c>
    </x:row>
    <x:row r="19" ht="54" customHeight="1">
      <x:c r="A19" s="29" t="str">
        <x:v>F016</x:v>
      </x:c>
      <x:c r="B19" s="29" t="str">
        <x:v>コア</x:v>
      </x:c>
      <x:c r="C19" s="29" t="str">
        <x:v>町田市</x:v>
      </x:c>
      <x:c r="D19" s="29" t="str">
        <x:v>市民バス・コミュニティバス</x:v>
      </x:c>
      <x:c r="E19" s="29" t="str">
        <x:v>町田市:かわせみ号／町田市:玉ちゃんバス／町田市:市民バス まちっこ／町田市:小山田桜台・多摩南部地域病院間バス</x:v>
      </x:c>
      <x:c r="F19" s="29" t="str">
        <x:v>町田市内4サービスを含む想定</x:v>
      </x:c>
      <x:c r="G19" s="34" t="str">
        <x:v>https://api-public.odpt.org/api/v4/files/odpt/MachidaCity/AllLines.zip?date=current</x:v>
      </x:c>
      <x:c r="H19" s="29" t="str">
        <x:v>公開・キー不要</x:v>
      </x:c>
      <x:c r="I19" s="29" t="str">
        <x:v>CC0 1.0</x:v>
      </x:c>
      <x:c r="J19" s="32" t="n">
        <x:v>46099</x:v>
      </x:c>
      <x:c r="K19" s="32" t="n">
        <x:v>46097</x:v>
      </x:c>
      <x:c r="L19" s="32" t="n">
        <x:v>46843</x:v>
      </x:c>
      <x:c r="M19" s="32"/>
      <x:c r="N19" s="29" t="n">
        <x:v>132</x:v>
      </x:c>
      <x:c r="O19" s="34" t="str"/>
      <x:c r="P19" s="34" t="str"/>
      <x:c r="Q19" s="34" t="str"/>
      <x:c r="R19" s="29" t="str">
        <x:f>IF(L19="","終了日未記載",IF(L19&lt;'調査概要'!$B$3,"期限切れ",IF(L19&lt;='調査概要'!$B$3+60,"60日以内","有効")))</x:f>
        <x:v>有効</x:v>
      </x:c>
      <x:c r="S19" s="29" t="str">
        <x:f>IF(OR(O19&lt;&gt;"",P19&lt;&gt;"",Q19&lt;&gt;""),"あり","なし")</x:f>
        <x:v>なし</x:v>
      </x:c>
      <x:c r="T19" s="29" t="str">
        <x:v>routes.txt/agency.txtで4サービスへの割当を検証する。</x:v>
      </x:c>
      <x:c r="U19" s="34" t="str">
        <x:v>https://www.city.machida.tokyo.jp/kurashi/sumai/kotsu/index.html</x:v>
      </x:c>
      <x:c r="V19" s="34" t="str">
        <x:v>https://bustime.jp/GtfsAgency/gtfs_list/</x:v>
      </x:c>
      <x:c r="W19" s="32" t="n">
        <x:v>46256</x:v>
      </x:c>
    </x:row>
    <x:row r="20" ht="54" customHeight="1">
      <x:c r="A20" s="29" t="str">
        <x:v>F017</x:v>
      </x:c>
      <x:c r="B20" s="29" t="str">
        <x:v>コア</x:v>
      </x:c>
      <x:c r="C20" s="29" t="str">
        <x:v>稲城市</x:v>
      </x:c>
      <x:c r="D20" s="29" t="str">
        <x:v>iバス</x:v>
      </x:c>
      <x:c r="E20" s="29" t="str">
        <x:v>稲城市:ｉ（あい）バス</x:v>
      </x:c>
      <x:c r="F20" s="29" t="str">
        <x:v>旧ダイヤの可能性</x:v>
      </x:c>
      <x:c r="G20" s="34" t="str">
        <x:v>https://api-public.odpt.org/api/v4/files/odpt/InagiCity/ibas_A_course.zip?date=current</x:v>
      </x:c>
      <x:c r="H20" s="29" t="str">
        <x:v>公開・キー不要</x:v>
      </x:c>
      <x:c r="I20" s="29" t="str">
        <x:v>CC BY 4.0</x:v>
      </x:c>
      <x:c r="J20" s="32" t="n">
        <x:v>45387</x:v>
      </x:c>
      <x:c r="K20" s="32" t="n">
        <x:v>45017</x:v>
      </x:c>
      <x:c r="L20" s="32" t="n">
        <x:v>45747</x:v>
      </x:c>
      <x:c r="M20" s="32"/>
      <x:c r="N20" s="29" t="n">
        <x:v>61</x:v>
      </x:c>
      <x:c r="O20" s="34" t="str"/>
      <x:c r="P20" s="34" t="str"/>
      <x:c r="Q20" s="34" t="str"/>
      <x:c r="R20" s="29" t="str">
        <x:f>IF(L20="","終了日未記載",IF(L20&lt;'調査概要'!$B$3,"期限切れ",IF(L20&lt;='調査概要'!$B$3+60,"60日以内","有効")))</x:f>
        <x:v>期限切れ</x:v>
      </x:c>
      <x:c r="S20" s="29" t="str">
        <x:f>IF(OR(O20&lt;&gt;"",P20&lt;&gt;"",Q20&lt;&gt;""),"あり","なし")</x:f>
        <x:v>なし</x:v>
      </x:c>
      <x:c r="T20" s="29" t="str">
        <x:v>サービスは現行だがフィードは期限切れ。2026-04-01再編後のデータではないため利用不可。</x:v>
      </x:c>
      <x:c r="U20" s="34" t="str">
        <x:v>https://www.city.inagi.tokyo.jp/kurashi/bus/index.html</x:v>
      </x:c>
      <x:c r="V20" s="34" t="str">
        <x:v>https://bustime.jp/GtfsAgency/gtfs_list/</x:v>
      </x:c>
      <x:c r="W20" s="32" t="n">
        <x:v>46256</x:v>
      </x:c>
    </x:row>
    <x:row r="21" ht="54" customHeight="1">
      <x:c r="A21" s="29" t="str">
        <x:v>F018</x:v>
      </x:c>
      <x:c r="B21" s="29" t="str">
        <x:v>コア</x:v>
      </x:c>
      <x:c r="C21" s="29" t="str">
        <x:v>瑞穂町</x:v>
      </x:c>
      <x:c r="D21" s="29" t="str">
        <x:v>コミュニティバス</x:v>
      </x:c>
      <x:c r="E21" s="29" t="str">
        <x:v>瑞穂町:瑞穂町 コミュニティバス</x:v>
      </x:c>
      <x:c r="F21" s="29" t="str">
        <x:v>全路線想定</x:v>
      </x:c>
      <x:c r="G21" s="34" t="str">
        <x:v>https://api.gtfs-data.jp/v2/organizations/mizuhotown/feeds/communitybus/files/feed.zip</x:v>
      </x:c>
      <x:c r="H21" s="29" t="str">
        <x:v>公開・キー不要</x:v>
      </x:c>
      <x:c r="I21" s="29" t="str">
        <x:v>CC BY 4.0</x:v>
      </x:c>
      <x:c r="J21" s="32" t="n">
        <x:v>46090</x:v>
      </x:c>
      <x:c r="K21" s="32" t="n">
        <x:v>45566</x:v>
      </x:c>
      <x:c r="L21" s="32" t="n">
        <x:v>46477</x:v>
      </x:c>
      <x:c r="M21" s="32"/>
      <x:c r="N21" s="29" t="n">
        <x:v>61</x:v>
      </x:c>
      <x:c r="O21" s="34" t="str"/>
      <x:c r="P21" s="34" t="str"/>
      <x:c r="Q21" s="34" t="str"/>
      <x:c r="R21" s="29" t="str">
        <x:f>IF(L21="","終了日未記載",IF(L21&lt;'調査概要'!$B$3,"期限切れ",IF(L21&lt;='調査概要'!$B$3+60,"60日以内","有効")))</x:f>
        <x:v>有効</x:v>
      </x:c>
      <x:c r="S21" s="29" t="str">
        <x:f>IF(OR(O21&lt;&gt;"",P21&lt;&gt;"",Q21&lt;&gt;""),"あり","なし")</x:f>
        <x:v>なし</x:v>
      </x:c>
      <x:c r="T21" s="29" t="str">
        <x:v>初期取り込み候補。</x:v>
      </x:c>
      <x:c r="U21" s="34" t="str">
        <x:v>https://www.town.mizuho.tokyo.jp/kankyo/004/index.html</x:v>
      </x:c>
      <x:c r="V21" s="34" t="str">
        <x:v>https://bustime.jp/GtfsAgency/gtfs_list/</x:v>
      </x:c>
      <x:c r="W21" s="32" t="n">
        <x:v>46256</x:v>
      </x:c>
    </x:row>
    <x:row r="22" ht="54" customHeight="1">
      <x:c r="A22" s="29" t="str">
        <x:v>F019</x:v>
      </x:c>
      <x:c r="B22" s="29" t="str">
        <x:v>コア</x:v>
      </x:c>
      <x:c r="C22" s="29" t="str">
        <x:v>瑞穂町</x:v>
      </x:c>
      <x:c r="D22" s="29" t="str">
        <x:v>チョイソコみずほまち（GTFS Flex）</x:v>
      </x:c>
      <x:c r="E22" s="29" t="str">
        <x:v>瑞穂町:チョイソコみずほまち</x:v>
      </x:c>
      <x:c r="F22" s="29" t="str">
        <x:v>デマンド交通</x:v>
      </x:c>
      <x:c r="G22" s="34" t="str">
        <x:v>https://api.gtfs-data.jp/v2/organizations/mizuhotown/feeds/DemandResponsiveTransport/files/feed.zip</x:v>
      </x:c>
      <x:c r="H22" s="29" t="str">
        <x:v>公開・キー不要</x:v>
      </x:c>
      <x:c r="I22" s="29" t="str">
        <x:v>CC BY 4.0</x:v>
      </x:c>
      <x:c r="J22" s="32" t="n">
        <x:v>46090</x:v>
      </x:c>
      <x:c r="K22" s="32" t="n">
        <x:v>45566</x:v>
      </x:c>
      <x:c r="L22" s="32" t="n">
        <x:v>46295</x:v>
      </x:c>
      <x:c r="M22" s="32"/>
      <x:c r="N22" s="29" t="n">
        <x:v>0</x:v>
      </x:c>
      <x:c r="O22" s="34" t="str"/>
      <x:c r="P22" s="34" t="str"/>
      <x:c r="Q22" s="34" t="str"/>
      <x:c r="R22" s="29" t="str">
        <x:f>IF(L22="","終了日未記載",IF(L22&lt;'調査概要'!$B$3,"期限切れ",IF(L22&lt;='調査概要'!$B$3+60,"60日以内","有効")))</x:f>
        <x:v>60日以内</x:v>
      </x:c>
      <x:c r="S22" s="29" t="str">
        <x:f>IF(OR(O22&lt;&gt;"",P22&lt;&gt;"",Q22&lt;&gt;""),"あり","なし")</x:f>
        <x:v>なし</x:v>
      </x:c>
      <x:c r="T22" s="29" t="str">
        <x:v>GTFS Flex。通常GTFSの停留所近傍検索とは別の予約・乗降エリア表示が必要。</x:v>
      </x:c>
      <x:c r="U22" s="34" t="str">
        <x:v>https://www.town.mizuho.tokyo.jp/kankyo/004/index.html</x:v>
      </x:c>
      <x:c r="V22" s="34" t="str">
        <x:v>https://bustime.jp/GtfsAgency/gtfs_list/</x:v>
      </x:c>
      <x:c r="W22" s="32" t="n">
        <x:v>46256</x:v>
      </x:c>
    </x:row>
    <x:row r="23" ht="54" customHeight="1">
      <x:c r="A23" s="29" t="str">
        <x:v>F020</x:v>
      </x:c>
      <x:c r="B23" s="29" t="str">
        <x:v>コア</x:v>
      </x:c>
      <x:c r="C23" s="29" t="str">
        <x:v>三宅村</x:v>
      </x:c>
      <x:c r="D23" s="29" t="str">
        <x:v>村営バス</x:v>
      </x:c>
      <x:c r="E23" s="29" t="str">
        <x:v>三宅村:三宅村営バス</x:v>
      </x:c>
      <x:c r="F23" s="29" t="str">
        <x:v>全路線想定</x:v>
      </x:c>
      <x:c r="G23" s="34" t="str">
        <x:v>https://api-public.odpt.org/api/v4/files/odpt/MiyakeVill/AllLine.zip?date=current</x:v>
      </x:c>
      <x:c r="H23" s="29" t="str">
        <x:v>公開・キー不要</x:v>
      </x:c>
      <x:c r="I23" s="29" t="str">
        <x:v>CC BY 4.0</x:v>
      </x:c>
      <x:c r="J23" s="32" t="n">
        <x:v>45929</x:v>
      </x:c>
      <x:c r="K23" s="32" t="n">
        <x:v>45929</x:v>
      </x:c>
      <x:c r="L23" s="32" t="n">
        <x:v>46387</x:v>
      </x:c>
      <x:c r="M23" s="32"/>
      <x:c r="N23" s="29" t="n">
        <x:v>147</x:v>
      </x:c>
      <x:c r="O23" s="34" t="str"/>
      <x:c r="P23" s="34" t="str"/>
      <x:c r="Q23" s="34" t="str"/>
      <x:c r="R23" s="29" t="str">
        <x:f>IF(L23="","終了日未記載",IF(L23&lt;'調査概要'!$B$3,"期限切れ",IF(L23&lt;='調査概要'!$B$3+60,"60日以内","有効")))</x:f>
        <x:v>有効</x:v>
      </x:c>
      <x:c r="S23" s="29" t="str">
        <x:f>IF(OR(O23&lt;&gt;"",P23&lt;&gt;"",Q23&lt;&gt;""),"あり","なし")</x:f>
        <x:v>なし</x:v>
      </x:c>
      <x:c r="T23" s="29" t="str">
        <x:v>島しょ部も同一データモデルで扱える。</x:v>
      </x:c>
      <x:c r="U23" s="34" t="str"/>
      <x:c r="V23" s="34" t="str">
        <x:v>https://bustime.jp/GtfsAgency/gtfs_list/</x:v>
      </x:c>
      <x:c r="W23" s="32" t="n">
        <x:v>46256</x:v>
      </x:c>
    </x:row>
    <x:row r="24" ht="54" customHeight="1">
      <x:c r="A24" s="29" t="str">
        <x:v>F021</x:v>
      </x:c>
      <x:c r="B24" s="29" t="str">
        <x:v>コア</x:v>
      </x:c>
      <x:c r="C24" s="29" t="str">
        <x:v>千代田区</x:v>
      </x:c>
      <x:c r="D24" s="29" t="str">
        <x:v>風ぐるま</x:v>
      </x:c>
      <x:c r="E24" s="29" t="str">
        <x:v>千代田区:風ぐるま</x:v>
      </x:c>
      <x:c r="F24" s="29" t="str">
        <x:v>全路線想定</x:v>
      </x:c>
      <x:c r="G24" s="34" t="str">
        <x:v>https://api-public.odpt.org/api/v4/files/odpt/HitachiAutomobileTransportation/Chiyoda_ALLLINES.zip?date=current</x:v>
      </x:c>
      <x:c r="H24" s="29" t="str">
        <x:v>公開・キー不要</x:v>
      </x:c>
      <x:c r="I24" s="29" t="str">
        <x:v>CC BY 4.0</x:v>
      </x:c>
      <x:c r="J24" s="32" t="n">
        <x:v>46182</x:v>
      </x:c>
      <x:c r="K24" s="32" t="n">
        <x:v>46175</x:v>
      </x:c>
      <x:c r="L24" s="32" t="n">
        <x:v>46752</x:v>
      </x:c>
      <x:c r="M24" s="32"/>
      <x:c r="N24" s="29" t="n">
        <x:v>79</x:v>
      </x:c>
      <x:c r="O24" s="34" t="str"/>
      <x:c r="P24" s="34" t="str"/>
      <x:c r="Q24" s="34" t="str"/>
      <x:c r="R24" s="29" t="str">
        <x:f>IF(L24="","終了日未記載",IF(L24&lt;'調査概要'!$B$3,"期限切れ",IF(L24&lt;='調査概要'!$B$3+60,"60日以内","有効")))</x:f>
        <x:v>有効</x:v>
      </x:c>
      <x:c r="S24" s="29" t="str">
        <x:f>IF(OR(O24&lt;&gt;"",P24&lt;&gt;"",Q24&lt;&gt;""),"あり","なし")</x:f>
        <x:v>なし</x:v>
      </x:c>
      <x:c r="T24" s="29" t="str">
        <x:v>初期取り込み候補。</x:v>
      </x:c>
      <x:c r="U24" s="34" t="str">
        <x:v>https://www.city.chiyoda.lg.jp/koho/kenko/koresha/gaishutsu/shin-kazaguruma/h28kaisei.html</x:v>
      </x:c>
      <x:c r="V24" s="34" t="str">
        <x:v>https://bustime.jp/GtfsAgency/gtfs_list/</x:v>
      </x:c>
      <x:c r="W24" s="32" t="n">
        <x:v>46256</x:v>
      </x:c>
    </x:row>
    <x:row r="25" ht="54" customHeight="1">
      <x:c r="A25" s="29" t="str">
        <x:v>F022</x:v>
      </x:c>
      <x:c r="B25" s="29" t="str">
        <x:v>コア</x:v>
      </x:c>
      <x:c r="C25" s="29" t="str">
        <x:v>台東区</x:v>
      </x:c>
      <x:c r="D25" s="29" t="str">
        <x:v>めぐりん</x:v>
      </x:c>
      <x:c r="E25" s="29" t="str">
        <x:v>台東区:めぐりん</x:v>
      </x:c>
      <x:c r="F25" s="29" t="str">
        <x:v>全路線想定</x:v>
      </x:c>
      <x:c r="G25" s="34" t="str">
        <x:v>https://api-public.odpt.org/api/v4/files/odpt/TokyoTaitoCity/megurinCCBY40.zip?date=current</x:v>
      </x:c>
      <x:c r="H25" s="29" t="str">
        <x:v>公開・キー不要</x:v>
      </x:c>
      <x:c r="I25" s="29" t="str">
        <x:v>CC BY 4.0</x:v>
      </x:c>
      <x:c r="J25" s="32" t="n">
        <x:v>45896</x:v>
      </x:c>
      <x:c r="K25" s="32" t="n">
        <x:v>45879</x:v>
      </x:c>
      <x:c r="L25" s="32" t="n">
        <x:v>46387</x:v>
      </x:c>
      <x:c r="M25" s="32"/>
      <x:c r="N25" s="29" t="n">
        <x:v>128</x:v>
      </x:c>
      <x:c r="O25" s="34" t="str"/>
      <x:c r="P25" s="34" t="str"/>
      <x:c r="Q25" s="34" t="str"/>
      <x:c r="R25" s="29" t="str">
        <x:f>IF(L25="","終了日未記載",IF(L25&lt;'調査概要'!$B$3,"期限切れ",IF(L25&lt;='調査概要'!$B$3+60,"60日以内","有効")))</x:f>
        <x:v>有効</x:v>
      </x:c>
      <x:c r="S25" s="29" t="str">
        <x:f>IF(OR(O25&lt;&gt;"",P25&lt;&gt;"",Q25&lt;&gt;""),"あり","なし")</x:f>
        <x:v>なし</x:v>
      </x:c>
      <x:c r="T25" s="29" t="str">
        <x:v>初期取り込み候補。</x:v>
      </x:c>
      <x:c r="U25" s="34" t="str">
        <x:v>https://www.city.taito.lg.jp/kenchiku/kotsu/megurin/index.html</x:v>
      </x:c>
      <x:c r="V25" s="34" t="str">
        <x:v>https://bustime.jp/GtfsAgency/gtfs_list/</x:v>
      </x:c>
      <x:c r="W25" s="32" t="n">
        <x:v>46256</x:v>
      </x:c>
    </x:row>
    <x:row r="26" ht="54" customHeight="1">
      <x:c r="A26" s="29" t="str">
        <x:v>F023</x:v>
      </x:c>
      <x:c r="B26" s="29" t="str">
        <x:v>コア</x:v>
      </x:c>
      <x:c r="C26" s="29" t="str">
        <x:v>小笠原村</x:v>
      </x:c>
      <x:c r="D26" s="29" t="str">
        <x:v>村営バス</x:v>
      </x:c>
      <x:c r="E26" s="29" t="str">
        <x:v>小笠原村:村営バス</x:v>
      </x:c>
      <x:c r="F26" s="29" t="str">
        <x:v>全路線想定</x:v>
      </x:c>
      <x:c r="G26" s="34" t="str">
        <x:v>https://api.gtfs-data.jp/v2/organizations/ogasawaravillage/feeds/o/files/feed.zip</x:v>
      </x:c>
      <x:c r="H26" s="29" t="str">
        <x:v>公開・キー不要</x:v>
      </x:c>
      <x:c r="I26" s="29" t="str">
        <x:v>CC BY 4.0</x:v>
      </x:c>
      <x:c r="J26" s="32" t="n">
        <x:v>46063</x:v>
      </x:c>
      <x:c r="K26" s="32" t="n">
        <x:v>46063</x:v>
      </x:c>
      <x:c r="L26" s="32" t="n">
        <x:v>46428</x:v>
      </x:c>
      <x:c r="M26" s="32"/>
      <x:c r="N26" s="29" t="n">
        <x:v>29</x:v>
      </x:c>
      <x:c r="O26" s="34" t="str"/>
      <x:c r="P26" s="34" t="str"/>
      <x:c r="Q26" s="34" t="str"/>
      <x:c r="R26" s="29" t="str">
        <x:f>IF(L26="","終了日未記載",IF(L26&lt;'調査概要'!$B$3,"期限切れ",IF(L26&lt;='調査概要'!$B$3+60,"60日以内","有効")))</x:f>
        <x:v>有効</x:v>
      </x:c>
      <x:c r="S26" s="29" t="str">
        <x:f>IF(OR(O26&lt;&gt;"",P26&lt;&gt;"",Q26&lt;&gt;""),"あり","なし")</x:f>
        <x:v>なし</x:v>
      </x:c>
      <x:c r="T26" s="29" t="str">
        <x:v>島しょ部。</x:v>
      </x:c>
      <x:c r="U26" s="34" t="str">
        <x:v>https://www.vill.ogasawara.tokyo.jp/bus/</x:v>
      </x:c>
      <x:c r="V26" s="34" t="str">
        <x:v>https://bustime.jp/GtfsAgency/gtfs_list/</x:v>
      </x:c>
      <x:c r="W26" s="32" t="n">
        <x:v>46256</x:v>
      </x:c>
    </x:row>
    <x:row r="27" ht="54" customHeight="1">
      <x:c r="A27" s="29" t="str">
        <x:v>F024</x:v>
      </x:c>
      <x:c r="B27" s="29" t="str">
        <x:v>コア・部分</x:v>
      </x:c>
      <x:c r="C27" s="29" t="str">
        <x:v>小金井市</x:v>
      </x:c>
      <x:c r="D27" s="29" t="str">
        <x:v>CoCoバス・ミニ（野川・七軒家）</x:v>
      </x:c>
      <x:c r="E27" s="29" t="str">
        <x:v>小金井市:ＣｏＣｏバス</x:v>
      </x:c>
      <x:c r="F27" s="29" t="str">
        <x:v>一部路線のみ</x:v>
      </x:c>
      <x:c r="G27" s="34" t="str">
        <x:v>https://api.odpt.org/api/v4/files/odpt/TsukubaKankouKotsu/CoCoBusNogawa.zip?acl%3AconsumerKey=&amp;date=current</x:v>
      </x:c>
      <x:c r="H27" s="29" t="str">
        <x:v>ODPT利用登録・キー</x:v>
      </x:c>
      <x:c r="I27" s="29" t="str">
        <x:v>ODPT利用規約</x:v>
      </x:c>
      <x:c r="J27" s="32" t="n">
        <x:v>46110</x:v>
      </x:c>
      <x:c r="K27" s="32" t="n">
        <x:v>46113</x:v>
      </x:c>
      <x:c r="L27" s="32" t="n">
        <x:v>46477</x:v>
      </x:c>
      <x:c r="M27" s="32"/>
      <x:c r="N27" s="29" t="n">
        <x:v>19</x:v>
      </x:c>
      <x:c r="O27" s="34" t="str"/>
      <x:c r="P27" s="34" t="str"/>
      <x:c r="Q27" s="34" t="str"/>
      <x:c r="R27" s="29" t="str">
        <x:f>IF(L27="","終了日未記載",IF(L27&lt;'調査概要'!$B$3,"期限切れ",IF(L27&lt;='調査概要'!$B$3+60,"60日以内","有効")))</x:f>
        <x:v>有効</x:v>
      </x:c>
      <x:c r="S27" s="29" t="str">
        <x:f>IF(OR(O27&lt;&gt;"",P27&lt;&gt;"",Q27&lt;&gt;""),"あり","なし")</x:f>
        <x:v>なし</x:v>
      </x:c>
      <x:c r="T27" s="29" t="str">
        <x:v>CoCoバス全5路線をカバーしない。未収録路線は別フィードか手動補完が必要。</x:v>
      </x:c>
      <x:c r="U27" s="34" t="str">
        <x:v>https://www.city.koganei.lg.jp/kurashi/482/buss/cocobus.html</x:v>
      </x:c>
      <x:c r="V27" s="34" t="str">
        <x:v>https://bustime.jp/GtfsAgency/gtfs_list/</x:v>
      </x:c>
      <x:c r="W27" s="32" t="n">
        <x:v>46256</x:v>
      </x:c>
    </x:row>
    <x:row r="28" ht="54" customHeight="1">
      <x:c r="A28" s="29" t="str">
        <x:v>F025</x:v>
      </x:c>
      <x:c r="B28" s="29" t="str">
        <x:v>コア</x:v>
      </x:c>
      <x:c r="C28" s="29" t="str">
        <x:v>杉並区</x:v>
      </x:c>
      <x:c r="D28" s="29" t="str">
        <x:v>グリーンスローモビリティ</x:v>
      </x:c>
      <x:c r="E28" s="29" t="str">
        <x:v>杉並区:グリーンスローモビリティ</x:v>
      </x:c>
      <x:c r="F28" s="29" t="str">
        <x:v>当該サービス</x:v>
      </x:c>
      <x:c r="G28" s="34" t="str">
        <x:v>https://api-public.odpt.org/api/v4/files/odpt/TokyoSuginamiCity/GreenSlowMobility.zip?date=current</x:v>
      </x:c>
      <x:c r="H28" s="29" t="str">
        <x:v>公開・キー不要</x:v>
      </x:c>
      <x:c r="I28" s="29" t="str">
        <x:v>CC BY 4.0</x:v>
      </x:c>
      <x:c r="J28" s="32" t="n">
        <x:v>46238</x:v>
      </x:c>
      <x:c r="K28" s="32" t="n">
        <x:v>46227</x:v>
      </x:c>
      <x:c r="L28" s="32" t="n">
        <x:v>46934</x:v>
      </x:c>
      <x:c r="M28" s="32"/>
      <x:c r="N28" s="29" t="n">
        <x:v>4</x:v>
      </x:c>
      <x:c r="O28" s="34" t="str">
        <x:v>https://api-public.odpt.org/api/v4/gtfs/realtime/odpt_TokyoSuginamiCity_GreenSlowMobility_trip_update</x:v>
      </x:c>
      <x:c r="P28" s="34" t="str">
        <x:v>https://api-public.odpt.org/api/v4/gtfs/realtime/odpt_TokyoSuginamiCity_GreenSlowMobility_vehicle</x:v>
      </x:c>
      <x:c r="Q28" s="34" t="str"/>
      <x:c r="R28" s="29" t="str">
        <x:f>IF(L28="","終了日未記載",IF(L28&lt;'調査概要'!$B$3,"期限切れ",IF(L28&lt;='調査概要'!$B$3+60,"60日以内","有効")))</x:f>
        <x:v>有効</x:v>
      </x:c>
      <x:c r="S28" s="29" t="str">
        <x:f>IF(OR(O28&lt;&gt;"",P28&lt;&gt;"",Q28&lt;&gt;""),"あり","なし")</x:f>
        <x:v>あり</x:v>
      </x:c>
      <x:c r="T28" s="29" t="str">
        <x:v>公開GTFS-RTあり。小規模でライブ表示の検証に向く。</x:v>
      </x:c>
      <x:c r="U28" s="34" t="str">
        <x:v>https://www.city.suginami.tokyo.jp/s092/17102.html</x:v>
      </x:c>
      <x:c r="V28" s="34" t="str">
        <x:v>https://bustime.jp/GtfsAgency/gtfs_list/</x:v>
      </x:c>
      <x:c r="W28" s="32" t="n">
        <x:v>46256</x:v>
      </x:c>
    </x:row>
    <x:row r="29" ht="54" customHeight="1">
      <x:c r="A29" s="29" t="str">
        <x:v>F026</x:v>
      </x:c>
      <x:c r="B29" s="29" t="str">
        <x:v>コア</x:v>
      </x:c>
      <x:c r="C29" s="29" t="str">
        <x:v>東大和市</x:v>
      </x:c>
      <x:c r="D29" s="29" t="str">
        <x:v>ちょこバス</x:v>
      </x:c>
      <x:c r="E29" s="29" t="str">
        <x:v>東大和市:ちょこバス</x:v>
      </x:c>
      <x:c r="F29" s="29" t="str">
        <x:v>全路線想定</x:v>
      </x:c>
      <x:c r="G29" s="34" t="str">
        <x:v>https://api-public.odpt.org/api/v4/files/odpt/HigashiyamatoCity/AllLines_CC0.zip?date=current</x:v>
      </x:c>
      <x:c r="H29" s="29" t="str">
        <x:v>公開・キー不要</x:v>
      </x:c>
      <x:c r="I29" s="29" t="str">
        <x:v>CC0 1.0</x:v>
      </x:c>
      <x:c r="J29" s="32" t="n">
        <x:v>46122</x:v>
      </x:c>
      <x:c r="K29" s="32" t="n">
        <x:v>46062</x:v>
      </x:c>
      <x:c r="L29" s="32" t="n">
        <x:v>46477</x:v>
      </x:c>
      <x:c r="M29" s="32"/>
      <x:c r="N29" s="29" t="n">
        <x:v>97</x:v>
      </x:c>
      <x:c r="O29" s="34" t="str"/>
      <x:c r="P29" s="34" t="str"/>
      <x:c r="Q29" s="34" t="str"/>
      <x:c r="R29" s="29" t="str">
        <x:f>IF(L29="","終了日未記載",IF(L29&lt;'調査概要'!$B$3,"期限切れ",IF(L29&lt;='調査概要'!$B$3+60,"60日以内","有効")))</x:f>
        <x:v>有効</x:v>
      </x:c>
      <x:c r="S29" s="29" t="str">
        <x:f>IF(OR(O29&lt;&gt;"",P29&lt;&gt;"",Q29&lt;&gt;""),"あり","なし")</x:f>
        <x:v>なし</x:v>
      </x:c>
      <x:c r="T29" s="29" t="str">
        <x:v>初期取り込み候補。</x:v>
      </x:c>
      <x:c r="U29" s="34" t="str">
        <x:v>https://www.city.higashiyamato.lg.jp/kurashi/dorokotsu/1002085/index.html</x:v>
      </x:c>
      <x:c r="V29" s="34" t="str">
        <x:v>https://bustime.jp/GtfsAgency/gtfs_list/</x:v>
      </x:c>
      <x:c r="W29" s="32" t="n">
        <x:v>46256</x:v>
      </x:c>
    </x:row>
    <x:row r="30" ht="54" customHeight="1">
      <x:c r="A30" s="29" t="str">
        <x:v>F027</x:v>
      </x:c>
      <x:c r="B30" s="29" t="str">
        <x:v>コア・追加</x:v>
      </x:c>
      <x:c r="C30" s="29" t="str">
        <x:v>目黒区</x:v>
      </x:c>
      <x:c r="D30" s="29" t="str">
        <x:v>さんまバス</x:v>
      </x:c>
      <x:c r="E30" s="29" t="str">
        <x:v>目黒区:さんまバス</x:v>
      </x:c>
      <x:c r="F30" s="29" t="str">
        <x:v>当該サービス</x:v>
      </x:c>
      <x:c r="G30" s="34" t="str">
        <x:v>https://api.odpt.org/api/v4/files/odpt/TokyuBus/tokyubus_community_MeguroCity.zip?acl%3AconsumerKey=&amp;date=current</x:v>
      </x:c>
      <x:c r="H30" s="29" t="str">
        <x:v>ODPT利用登録・キー</x:v>
      </x:c>
      <x:c r="I30" s="29" t="str">
        <x:v>ODPT利用規約</x:v>
      </x:c>
      <x:c r="J30" s="32" t="n">
        <x:v>46170</x:v>
      </x:c>
      <x:c r="K30" s="32" t="n">
        <x:v>46174</x:v>
      </x:c>
      <x:c r="L30" s="32" t="n">
        <x:v>46295</x:v>
      </x:c>
      <x:c r="M30" s="32"/>
      <x:c r="N30" s="29" t="n">
        <x:v>22</x:v>
      </x:c>
      <x:c r="O30" s="34" t="str"/>
      <x:c r="P30" s="34" t="str"/>
      <x:c r="Q30" s="34" t="str"/>
      <x:c r="R30" s="29" t="str">
        <x:f>IF(L30="","終了日未記載",IF(L30&lt;'調査概要'!$B$3,"期限切れ",IF(L30&lt;='調査概要'!$B$3+60,"60日以内","有効")))</x:f>
        <x:v>60日以内</x:v>
      </x:c>
      <x:c r="S30" s="29" t="str">
        <x:f>IF(OR(O30&lt;&gt;"",P30&lt;&gt;"",Q30&lt;&gt;""),"あり","なし")</x:f>
        <x:v>なし</x:v>
      </x:c>
      <x:c r="T30" s="29" t="str">
        <x:v>2024-03-26実証開始。2023基準資料には未掲載。終了日が近いため更新監視。</x:v>
      </x:c>
      <x:c r="U30" s="34" t="str">
        <x:v>https://www.city.meguro.tokyo.jp/toshikiban/kusei/keikaku/sanma_bus.html</x:v>
      </x:c>
      <x:c r="V30" s="34" t="str">
        <x:v>https://bustime.jp/GtfsAgency/gtfs_list/</x:v>
      </x:c>
      <x:c r="W30" s="32" t="n">
        <x:v>46256</x:v>
      </x:c>
    </x:row>
    <x:row r="31" ht="54" customHeight="1">
      <x:c r="A31" s="29" t="str">
        <x:v>F028</x:v>
      </x:c>
      <x:c r="B31" s="29" t="str">
        <x:v>コア</x:v>
      </x:c>
      <x:c r="C31" s="29" t="str">
        <x:v>神津島村</x:v>
      </x:c>
      <x:c r="D31" s="29" t="str">
        <x:v>村営バス</x:v>
      </x:c>
      <x:c r="E31" s="29" t="str">
        <x:v>神津島村:神津島村村営バス</x:v>
      </x:c>
      <x:c r="F31" s="29" t="str">
        <x:v>全路線想定</x:v>
      </x:c>
      <x:c r="G31" s="34" t="str">
        <x:v>https://api.gtfs-data.jp/v2/organizations/kozushimavillage/feeds/kozushimavillagebus/files/feed.zip</x:v>
      </x:c>
      <x:c r="H31" s="29" t="str">
        <x:v>公開・キー不要</x:v>
      </x:c>
      <x:c r="I31" s="29" t="str">
        <x:v>CC BY 4.0</x:v>
      </x:c>
      <x:c r="J31" s="32" t="n">
        <x:v>46062</x:v>
      </x:c>
      <x:c r="K31" s="32" t="n">
        <x:v>46051</x:v>
      </x:c>
      <x:c r="L31" s="32" t="n">
        <x:v>46415</x:v>
      </x:c>
      <x:c r="M31" s="32"/>
      <x:c r="N31" s="29" t="n">
        <x:v>18</x:v>
      </x:c>
      <x:c r="O31" s="34" t="str"/>
      <x:c r="P31" s="34" t="str"/>
      <x:c r="Q31" s="34" t="str"/>
      <x:c r="R31" s="29" t="str">
        <x:f>IF(L31="","終了日未記載",IF(L31&lt;'調査概要'!$B$3,"期限切れ",IF(L31&lt;='調査概要'!$B$3+60,"60日以内","有効")))</x:f>
        <x:v>有効</x:v>
      </x:c>
      <x:c r="S31" s="29" t="str">
        <x:f>IF(OR(O31&lt;&gt;"",P31&lt;&gt;"",Q31&lt;&gt;""),"あり","なし")</x:f>
        <x:v>なし</x:v>
      </x:c>
      <x:c r="T31" s="29" t="str">
        <x:v>基準Excelの運行事業者欄が「新島村」になっており、原典確認要。現行フィード名は神津島村。</x:v>
      </x:c>
      <x:c r="U31" s="34" t="str">
        <x:v>https://www.vill.kouzushima.tokyo.jp/transport/</x:v>
      </x:c>
      <x:c r="V31" s="34" t="str">
        <x:v>https://bustime.jp/GtfsAgency/gtfs_list/</x:v>
      </x:c>
      <x:c r="W31" s="32" t="n">
        <x:v>46256</x:v>
      </x:c>
    </x:row>
    <x:row r="32" ht="54" customHeight="1">
      <x:c r="A32" s="29" t="str">
        <x:v>F029</x:v>
      </x:c>
      <x:c r="B32" s="29" t="str">
        <x:v>コア</x:v>
      </x:c>
      <x:c r="C32" s="29" t="str">
        <x:v>荒川区</x:v>
      </x:c>
      <x:c r="D32" s="29" t="str">
        <x:v>コミュニティバスさくら</x:v>
      </x:c>
      <x:c r="E32" s="29" t="str">
        <x:v>荒川区:さくら</x:v>
      </x:c>
      <x:c r="F32" s="29" t="str">
        <x:v>さくら系統。汐入さくら収録有無は要照合</x:v>
      </x:c>
      <x:c r="G32" s="34" t="str">
        <x:v>https://api.gtfs-data.jp/v2/organizations/arakawacity/feeds/sakura/files/feed.zip</x:v>
      </x:c>
      <x:c r="H32" s="29" t="str">
        <x:v>公開・キー不要</x:v>
      </x:c>
      <x:c r="I32" s="29" t="str">
        <x:v>CC BY 4.0</x:v>
      </x:c>
      <x:c r="J32" s="32" t="n">
        <x:v>46085</x:v>
      </x:c>
      <x:c r="K32" s="32" t="n">
        <x:v>46082</x:v>
      </x:c>
      <x:c r="L32" s="32" t="n">
        <x:v>46446</x:v>
      </x:c>
      <x:c r="M32" s="32"/>
      <x:c r="N32" s="29" t="n">
        <x:v>32</x:v>
      </x:c>
      <x:c r="O32" s="34" t="str"/>
      <x:c r="P32" s="34" t="str"/>
      <x:c r="Q32" s="34" t="str"/>
      <x:c r="R32" s="29" t="str">
        <x:f>IF(L32="","終了日未記載",IF(L32&lt;'調査概要'!$B$3,"期限切れ",IF(L32&lt;='調査概要'!$B$3+60,"60日以内","有効")))</x:f>
        <x:v>有効</x:v>
      </x:c>
      <x:c r="S32" s="29" t="str">
        <x:f>IF(OR(O32&lt;&gt;"",P32&lt;&gt;"",Q32&lt;&gt;""),"あり","なし")</x:f>
        <x:v>なし</x:v>
      </x:c>
      <x:c r="T32" s="29" t="str">
        <x:v>汐入さくらの収録範囲はroutes.txtで確認する。</x:v>
      </x:c>
      <x:c r="U32" s="34" t="str">
        <x:v>https://www.city.arakawa.tokyo.jp/a040/koutsuu-bus/komyuniteibasu/sakura.html</x:v>
      </x:c>
      <x:c r="V32" s="34" t="str">
        <x:v>https://bustime.jp/GtfsAgency/gtfs_list/</x:v>
      </x:c>
      <x:c r="W32" s="32" t="n">
        <x:v>46256</x:v>
      </x:c>
    </x:row>
    <x:row r="33" ht="54" customHeight="1">
      <x:c r="A33" s="29" t="str">
        <x:v>F030</x:v>
      </x:c>
      <x:c r="B33" s="29" t="str">
        <x:v>コア</x:v>
      </x:c>
      <x:c r="C33" s="29" t="str">
        <x:v>西東京市</x:v>
      </x:c>
      <x:c r="D33" s="29" t="str">
        <x:v>はなバス</x:v>
      </x:c>
      <x:c r="E33" s="29" t="str">
        <x:v>西東京市:はなバス</x:v>
      </x:c>
      <x:c r="F33" s="29" t="str">
        <x:v>全路線想定</x:v>
      </x:c>
      <x:c r="G33" s="34" t="str">
        <x:v>https://api-public.odpt.org/api/v4/files/odpt/NishitokyoCity/AllLines.zip?date=current</x:v>
      </x:c>
      <x:c r="H33" s="29" t="str">
        <x:v>公開・キー不要</x:v>
      </x:c>
      <x:c r="I33" s="29" t="str">
        <x:v>CC BY 4.0</x:v>
      </x:c>
      <x:c r="J33" s="32" t="n">
        <x:v>46111</x:v>
      </x:c>
      <x:c r="K33" s="32" t="n">
        <x:v>46113</x:v>
      </x:c>
      <x:c r="L33" s="32" t="n">
        <x:v>46477</x:v>
      </x:c>
      <x:c r="M33" s="32"/>
      <x:c r="N33" s="29" t="n">
        <x:v>146</x:v>
      </x:c>
      <x:c r="O33" s="34" t="str"/>
      <x:c r="P33" s="34" t="str"/>
      <x:c r="Q33" s="34" t="str"/>
      <x:c r="R33" s="29" t="str">
        <x:f>IF(L33="","終了日未記載",IF(L33&lt;'調査概要'!$B$3,"期限切れ",IF(L33&lt;='調査概要'!$B$3+60,"60日以内","有効")))</x:f>
        <x:v>有効</x:v>
      </x:c>
      <x:c r="S33" s="29" t="str">
        <x:f>IF(OR(O33&lt;&gt;"",P33&lt;&gt;"",Q33&lt;&gt;""),"あり","なし")</x:f>
        <x:v>なし</x:v>
      </x:c>
      <x:c r="T33" s="29" t="str">
        <x:v>初期取り込み候補。</x:v>
      </x:c>
      <x:c r="U33" s="34" t="str">
        <x:v>https://www.city.nishitokyo.lg.jp/siseizyoho/sesaku_keikaku/shingikaikaigiroku/toshiseibi/chiikikokyo/index.html</x:v>
      </x:c>
      <x:c r="V33" s="34" t="str">
        <x:v>https://bustime.jp/GtfsAgency/gtfs_list/</x:v>
      </x:c>
      <x:c r="W33" s="32" t="n">
        <x:v>46256</x:v>
      </x:c>
    </x:row>
    <x:row r="34" ht="54" customHeight="1">
      <x:c r="A34" s="29" t="str">
        <x:v>F031</x:v>
      </x:c>
      <x:c r="B34" s="29" t="str">
        <x:v>コア</x:v>
      </x:c>
      <x:c r="C34" s="29" t="str">
        <x:v>豊島区</x:v>
      </x:c>
      <x:c r="D34" s="29" t="str">
        <x:v>IKEBUS</x:v>
      </x:c>
      <x:c r="E34" s="29" t="str">
        <x:v>豊島区:IKEBUS</x:v>
      </x:c>
      <x:c r="F34" s="29" t="str">
        <x:v>当該サービス</x:v>
      </x:c>
      <x:c r="G34" s="34" t="str"/>
      <x:c r="H34" s="29" t="str">
        <x:v>PTD-HS利用条件確認</x:v>
      </x:c>
      <x:c r="I34" s="29" t="str">
        <x:v>PTD-HS条件確認</x:v>
      </x:c>
      <x:c r="J34" s="32" t="n">
        <x:v>46240</x:v>
      </x:c>
      <x:c r="K34" s="32" t="n">
        <x:v>46235</x:v>
      </x:c>
      <x:c r="L34" s="32" t="n">
        <x:v>46598</x:v>
      </x:c>
      <x:c r="M34" s="32"/>
      <x:c r="N34" s="29" t="n">
        <x:v>14</x:v>
      </x:c>
      <x:c r="O34" s="34" t="str"/>
      <x:c r="P34" s="34" t="str"/>
      <x:c r="Q34" s="34" t="str"/>
      <x:c r="R34" s="29" t="str">
        <x:f>IF(L34="","終了日未記載",IF(L34&lt;'調査概要'!$B$3,"期限切れ",IF(L34&lt;='調査概要'!$B$3+60,"60日以内","有効")))</x:f>
        <x:v>有効</x:v>
      </x:c>
      <x:c r="S34" s="29" t="str">
        <x:f>IF(OR(O34&lt;&gt;"",P34&lt;&gt;"",Q34&lt;&gt;""),"あり","なし")</x:f>
        <x:v>なし</x:v>
      </x:c>
      <x:c r="T34" s="29" t="str">
        <x:v>カタログ上は現行データあり。直接取得URLと再配布条件を提供元へ確認。</x:v>
      </x:c>
      <x:c r="U34" s="34" t="str">
        <x:v>https://www.city.toshima.lg.jp/machizukuri/kotsu/2203081526.html</x:v>
      </x:c>
      <x:c r="V34" s="34" t="str">
        <x:v>https://bustime.jp/GtfsAgency/gtfs_list/</x:v>
      </x:c>
      <x:c r="W34" s="32" t="n">
        <x:v>46256</x:v>
      </x:c>
    </x:row>
    <x:row r="35" ht="54" customHeight="1">
      <x:c r="A35" s="29" t="str">
        <x:v>F032</x:v>
      </x:c>
      <x:c r="B35" s="29" t="str">
        <x:v>拡張候補</x:v>
      </x:c>
      <x:c r="C35" s="29" t="str">
        <x:v>大島町</x:v>
      </x:c>
      <x:c r="D35" s="29" t="str">
        <x:v>大島バス</x:v>
      </x:c>
      <x:c r="E35" s="29" t="str">
        <x:v>—</x:v>
      </x:c>
      <x:c r="F35" s="29" t="str">
        <x:v>一般路線バス（自治体コミュニティバス外）</x:v>
      </x:c>
      <x:c r="G35" s="34" t="str">
        <x:v>https://api.odpt.org/api/v4/files/odpt/OshimaBus/AllLines.zip?acl%3AconsumerKey=&amp;date=current</x:v>
      </x:c>
      <x:c r="H35" s="29" t="str">
        <x:v>ODPT利用登録・キー</x:v>
      </x:c>
      <x:c r="I35" s="29" t="str">
        <x:v>ODPT利用規約</x:v>
      </x:c>
      <x:c r="J35" s="32" t="n">
        <x:v>46191</x:v>
      </x:c>
      <x:c r="K35" s="32" t="n">
        <x:v>46204</x:v>
      </x:c>
      <x:c r="L35" s="32" t="n">
        <x:v>46295</x:v>
      </x:c>
      <x:c r="M35" s="32"/>
      <x:c r="N35" s="29" t="n">
        <x:v>106</x:v>
      </x:c>
      <x:c r="O35" s="34" t="str"/>
      <x:c r="P35" s="34" t="str"/>
      <x:c r="Q35" s="34" t="str"/>
      <x:c r="R35" s="29" t="str">
        <x:f>IF(L35="","終了日未記載",IF(L35&lt;'調査概要'!$B$3,"期限切れ",IF(L35&lt;='調査概要'!$B$3+60,"60日以内","有効")))</x:f>
        <x:v>60日以内</x:v>
      </x:c>
      <x:c r="S35" s="29" t="str">
        <x:f>IF(OR(O35&lt;&gt;"",P35&lt;&gt;"",Q35&lt;&gt;""),"あり","なし")</x:f>
        <x:v>なし</x:v>
      </x:c>
      <x:c r="T35" s="29" t="str">
        <x:v>将来、自治体コミュニティ交通から都内ローカル一般路線へ範囲を広げる場合の候補。</x:v>
      </x:c>
      <x:c r="U35" s="34" t="str"/>
      <x:c r="V35" s="34" t="str">
        <x:v>https://bustime.jp/GtfsAgency/gtfs_list/</x:v>
      </x:c>
      <x:c r="W35" s="32" t="n">
        <x:v>46256</x:v>
      </x:c>
    </x:row>
    <x:row r="36" ht="54" customHeight="1">
      <x:c r="A36" s="29" t="str">
        <x:v>F033</x:v>
      </x:c>
      <x:c r="B36" s="29" t="str">
        <x:v>拡張候補</x:v>
      </x:c>
      <x:c r="C36" s="29" t="str">
        <x:v>港区</x:v>
      </x:c>
      <x:c r="D36" s="29" t="str">
        <x:v>お台場レインボーバス</x:v>
      </x:c>
      <x:c r="E36" s="29" t="str">
        <x:v>—</x:v>
      </x:c>
      <x:c r="F36" s="29" t="str">
        <x:v>一般路線バス（自治体コミュニティバス外）</x:v>
      </x:c>
      <x:c r="G36" s="34" t="str">
        <x:v>https://www.km-bus.tokyo/route/odaiba/gtfs_data/GTFS20250401%20%28kmms%29.zip</x:v>
      </x:c>
      <x:c r="H36" s="29" t="str">
        <x:v>公開・キー不要</x:v>
      </x:c>
      <x:c r="I36" s="29" t="str">
        <x:v>CC0 1.0</x:v>
      </x:c>
      <x:c r="J36" s="32" t="n">
        <x:v>45875</x:v>
      </x:c>
      <x:c r="K36" s="32" t="n">
        <x:v>45748</x:v>
      </x:c>
      <x:c r="L36" s="32" t="n">
        <x:v>46112</x:v>
      </x:c>
      <x:c r="M36" s="32"/>
      <x:c r="N36" s="29" t="n">
        <x:v>19</x:v>
      </x:c>
      <x:c r="O36" s="34" t="str"/>
      <x:c r="P36" s="34" t="str"/>
      <x:c r="Q36" s="34" t="str"/>
      <x:c r="R36" s="29" t="str">
        <x:f>IF(L36="","終了日未記載",IF(L36&lt;'調査概要'!$B$3,"期限切れ",IF(L36&lt;='調査概要'!$B$3+60,"60日以内","有効")))</x:f>
        <x:v>期限切れ</x:v>
      </x:c>
      <x:c r="S36" s="29" t="str">
        <x:f>IF(OR(O36&lt;&gt;"",P36&lt;&gt;"",Q36&lt;&gt;""),"あり","なし")</x:f>
        <x:v>なし</x:v>
      </x:c>
      <x:c r="T36" s="29" t="str">
        <x:v>フィード期限切れ。現行データの再公開確認まで取り込まない。</x:v>
      </x:c>
      <x:c r="U36" s="34" t="str"/>
      <x:c r="V36" s="34" t="str">
        <x:v>https://bustime.jp/GtfsAgency/gtfs_list/</x:v>
      </x:c>
      <x:c r="W36" s="32" t="n">
        <x:v>46256</x:v>
      </x:c>
    </x:row>
  </x:sheetData>
  <x:mergeCells>
    <x:mergeCell ref="A1:W1"/>
    <x:mergeCell ref="A2:W2"/>
  </x:mergeCells>
  <x:conditionalFormatting sqref="R4:R36">
    <x:cfRule type="expression" dxfId="11" priority="1">
      <x:formula>$R4="有効"</x:formula>
    </x:cfRule>
    <x:cfRule type="expression" dxfId="12" priority="2">
      <x:formula>$R4="60日以内"</x:formula>
    </x:cfRule>
    <x:cfRule type="expression" dxfId="13" priority="3">
      <x:formula>$R4="期限切れ"</x:formula>
    </x:cfRule>
    <x:cfRule type="expression" dxfId="14" priority="4">
      <x:formula>$R4="終了日未記載"</x:formula>
    </x:cfRule>
  </x:conditionalFormatting>
  <x:conditionalFormatting sqref="S4:S36">
    <x:cfRule type="expression" dxfId="15" priority="5">
      <x:formula>$S4="あり"</x:formula>
    </x:cfRule>
  </x:conditionalFormatting>
  <x:pageMargins left="0.7" right="0.7" top="0.75" bottom="0.75" header="0.3" footer="0.3"/>
  <x:tableParts count="1">
    <x:tablePart xmlns:r="http://schemas.openxmlformats.org/officeDocument/2006/relationships" r:id="R8852e585d411480d"/>
  </x:tableParts>
</x:worksheet>
</file>

<file path=xl/worksheets/sheet5.xml><?xml version="1.0" encoding="utf-8"?>
<x:worksheet xmlns:x="http://schemas.openxmlformats.org/spreadsheetml/2006/main">
  <x:sheetFormatPr defaultRowHeight="15"/>
  <x:cols>
    <x:col min="1" max="1" width="11" hidden="0" customWidth="1"/>
    <x:col min="2" max="2" width="16" hidden="0" customWidth="1"/>
    <x:col min="3" max="3" width="48" hidden="0" customWidth="1"/>
    <x:col min="4" max="4" width="23" hidden="0" customWidth="1"/>
    <x:col min="5" max="5" width="18" hidden="0" customWidth="1"/>
    <x:col min="6" max="6" width="12" hidden="0" customWidth="1"/>
    <x:col min="7" max="7" width="12" hidden="0" customWidth="1"/>
    <x:col min="8" max="8" width="12" hidden="0" customWidth="1"/>
    <x:col min="9" max="9" width="12" hidden="0" customWidth="1"/>
    <x:col min="10" max="10" width="10" hidden="0" customWidth="1"/>
    <x:col min="11" max="11" width="44" hidden="0" customWidth="1"/>
    <x:col min="12" max="12" width="44" hidden="0" customWidth="1"/>
    <x:col min="13" max="13" width="48" hidden="0" customWidth="1"/>
    <x:col min="14" max="14" width="14" hidden="0" customWidth="1"/>
    <x:col min="15" max="15" width="48" hidden="0" customWidth="1"/>
    <x:col min="16" max="16" width="38" hidden="0" customWidth="1"/>
    <x:col min="17" max="17" width="12" hidden="0" customWidth="1"/>
  </x:cols>
  <x:sheetData>
    <x:row r="1" ht="30" customHeight="1">
      <x:c r="A1" s="5" t="str">
        <x:v>事業者包括GTFS 候補</x:v>
      </x:c>
      <x:c r="B1" s="5"/>
      <x:c r="C1" s="5"/>
      <x:c r="D1" s="5"/>
      <x:c r="E1" s="5"/>
      <x:c r="F1" s="5"/>
      <x:c r="G1" s="5"/>
      <x:c r="H1" s="5"/>
      <x:c r="I1" s="5"/>
      <x:c r="J1" s="5"/>
      <x:c r="K1" s="5"/>
      <x:c r="L1" s="5"/>
      <x:c r="M1" s="5"/>
      <x:c r="N1" s="5"/>
      <x:c r="O1" s="5"/>
      <x:c r="P1" s="5"/>
      <x:c r="Q1" s="5"/>
    </x:row>
    <x:row r="2" ht="22" customHeight="1">
      <x:c r="A2" s="13" t="str">
        <x:v>自治体コミュニティ路線の収録有無はroutes.txt等で照合するまで未確定</x:v>
      </x:c>
      <x:c r="B2" s="13"/>
      <x:c r="C2" s="13"/>
      <x:c r="D2" s="13"/>
      <x:c r="E2" s="13"/>
      <x:c r="F2" s="13"/>
      <x:c r="G2" s="13"/>
      <x:c r="H2" s="13"/>
      <x:c r="I2" s="13"/>
      <x:c r="J2" s="13"/>
      <x:c r="K2" s="13"/>
      <x:c r="L2" s="13"/>
      <x:c r="M2" s="13"/>
      <x:c r="N2" s="13"/>
      <x:c r="O2" s="13"/>
      <x:c r="P2" s="13"/>
      <x:c r="Q2" s="13"/>
    </x:row>
    <x:row r="3" ht="36" customHeight="1">
      <x:c r="A3" s="36" t="str">
        <x:v>Operator ID</x:v>
      </x:c>
      <x:c r="B3" s="36" t="str">
        <x:v>事業者</x:v>
      </x:c>
      <x:c r="C3" s="36" t="str">
        <x:v>静的GTFS URL</x:v>
      </x:c>
      <x:c r="D3" s="36" t="str">
        <x:v>アクセス</x:v>
      </x:c>
      <x:c r="E3" s="36" t="str">
        <x:v>ライセンス</x:v>
      </x:c>
      <x:c r="F3" s="36" t="str">
        <x:v>最終更新</x:v>
      </x:c>
      <x:c r="G3" s="36" t="str">
        <x:v>有効開始</x:v>
      </x:c>
      <x:c r="H3" s="36" t="str">
        <x:v>有効終了</x:v>
      </x:c>
      <x:c r="I3" s="36" t="str">
        <x:v>次期開始</x:v>
      </x:c>
      <x:c r="J3" s="36" t="str">
        <x:v>停留所数</x:v>
      </x:c>
      <x:c r="K3" s="36" t="str">
        <x:v>RT TripUpdate</x:v>
      </x:c>
      <x:c r="L3" s="36" t="str">
        <x:v>RT VehiclePosition</x:v>
      </x:c>
      <x:c r="M3" s="36" t="str">
        <x:v>自治体路線候補</x:v>
      </x:c>
      <x:c r="N3" s="36" t="str">
        <x:v>有効判定</x:v>
      </x:c>
      <x:c r="O3" s="36" t="str">
        <x:v>実装メモ</x:v>
      </x:c>
      <x:c r="P3" s="36" t="str">
        <x:v>調査ソースURL</x:v>
      </x:c>
      <x:c r="Q3" s="36" t="str">
        <x:v>確認日</x:v>
      </x:c>
    </x:row>
    <x:row r="4" ht="64" customHeight="1">
      <x:c r="A4" s="29" t="str">
        <x:v>OP001</x:v>
      </x:c>
      <x:c r="B4" s="29" t="str">
        <x:v>京王バス</x:v>
      </x:c>
      <x:c r="C4" s="34" t="str">
        <x:v>https://api.odpt.org/api/v4/files/odpt/KeioBus/AllLines.zip?acl%3AconsumerKey=&amp;date=current</x:v>
      </x:c>
      <x:c r="D4" s="29" t="str">
        <x:v>ODPT利用登録・キー</x:v>
      </x:c>
      <x:c r="E4" s="29" t="str">
        <x:v>ODPT利用規約</x:v>
      </x:c>
      <x:c r="F4" s="32" t="n">
        <x:v>46243</x:v>
      </x:c>
      <x:c r="G4" s="32" t="n">
        <x:v>46240</x:v>
      </x:c>
      <x:c r="H4" s="32" t="n">
        <x:v>46387</x:v>
      </x:c>
      <x:c r="I4" s="32" t="n">
        <x:v>46246</x:v>
      </x:c>
      <x:c r="J4" s="29" t="n">
        <x:v>2921</x:v>
      </x:c>
      <x:c r="K4" s="34" t="str">
        <x:v>https://api.odpt.org/api/v4/gtfs/realtime/odpt_KeioBus_AllLines_trip_update?acl%3AconsumerKey=</x:v>
      </x:c>
      <x:c r="L4" s="34" t="str">
        <x:v>https://api.odpt.org/api/v4/gtfs/realtime/odpt_KeioBus_AllLines_vehicle?acl%3AconsumerKey=</x:v>
      </x:c>
      <x:c r="M4" s="29" t="str">
        <x:v>新宿WEバス、すぎ丸、みたかシティバス、ちゅうバス、調布市ミニバス、日野市ミニバス、多摩市ミニバス等</x:v>
      </x:c>
      <x:c r="N4" s="29" t="str">
        <x:f>IF(H4="","終了日未記載",IF(H4&lt;'調査概要'!$B$3,"期限切れ",IF(H4&lt;='調査概要'!$B$3+60,"60日以内","有効")))</x:f>
        <x:v>有効</x:v>
      </x:c>
      <x:c r="O4" s="29" t="str">
        <x:v>包括フィード。routes.txt・agency.txt・route_desc等による自治体路線の確定が必要。</x:v>
      </x:c>
      <x:c r="P4" s="34" t="str">
        <x:v>https://bustime.jp/GtfsAgency/gtfs_list/</x:v>
      </x:c>
      <x:c r="Q4" s="32" t="n">
        <x:v>46256</x:v>
      </x:c>
    </x:row>
    <x:row r="5" ht="64" customHeight="1">
      <x:c r="A5" s="29" t="str">
        <x:v>OP002</x:v>
      </x:c>
      <x:c r="B5" s="29" t="str">
        <x:v>西武バス</x:v>
      </x:c>
      <x:c r="C5" s="34" t="str">
        <x:v>https://api.odpt.org/api/v4/files/SeibuBus/data/SeibuBus-GTFS.zip?acl%3AconsumerKey=</x:v>
      </x:c>
      <x:c r="D5" s="29" t="str">
        <x:v>ODPT利用登録・キー</x:v>
      </x:c>
      <x:c r="E5" s="29" t="str">
        <x:v>ODPT利用規約</x:v>
      </x:c>
      <x:c r="F5" s="32" t="n">
        <x:v>46235</x:v>
      </x:c>
      <x:c r="G5" s="32" t="n">
        <x:v>46235</x:v>
      </x:c>
      <x:c r="H5" s="32" t="n">
        <x:v>46326</x:v>
      </x:c>
      <x:c r="I5" s="32"/>
      <x:c r="J5" s="29" t="n">
        <x:v>4038</x:v>
      </x:c>
      <x:c r="K5" s="34" t="str">
        <x:v>https://api.odpt.org/api/v4/gtfs/realtime/SeibuBus_trip_update?acl%3AconsumerKey=</x:v>
      </x:c>
      <x:c r="L5" s="34" t="str">
        <x:v>https://api.odpt.org/api/v4/gtfs/realtime/SeibuBus_vehicle?acl%3AconsumerKey=</x:v>
      </x:c>
      <x:c r="M5" s="29" t="str">
        <x:v>みどりバス、にじバス等</x:v>
      </x:c>
      <x:c r="N5" s="29" t="str">
        <x:f>IF(H5="","終了日未記載",IF(H5&lt;'調査概要'!$B$3,"期限切れ",IF(H5&lt;='調査概要'!$B$3+60,"60日以内","有効")))</x:f>
        <x:v>有効</x:v>
      </x:c>
      <x:c r="O5" s="29" t="str">
        <x:v>包括フィード。自治体コミュニティ路線のroute_idを確定してから採用。</x:v>
      </x:c>
      <x:c r="P5" s="34" t="str">
        <x:v>https://bustime.jp/GtfsAgency/gtfs_list/</x:v>
      </x:c>
      <x:c r="Q5" s="32" t="n">
        <x:v>46256</x:v>
      </x:c>
    </x:row>
    <x:row r="6" ht="64" customHeight="1">
      <x:c r="A6" s="29" t="str">
        <x:v>OP003</x:v>
      </x:c>
      <x:c r="B6" s="29" t="str">
        <x:v>関東バス</x:v>
      </x:c>
      <x:c r="C6" s="34" t="str">
        <x:v>https://api.odpt.org/api/v4/files/odpt/KantoBus/AllLines.zip?acl%3AconsumerKey=&amp;date=current</x:v>
      </x:c>
      <x:c r="D6" s="29" t="str">
        <x:v>ODPT利用登録・キー</x:v>
      </x:c>
      <x:c r="E6" s="29" t="str">
        <x:v>ODPT利用規約</x:v>
      </x:c>
      <x:c r="F6" s="32" t="n">
        <x:v>46210</x:v>
      </x:c>
      <x:c r="G6" s="32" t="n">
        <x:v>46208</x:v>
      </x:c>
      <x:c r="H6" s="32" t="n">
        <x:v>46229</x:v>
      </x:c>
      <x:c r="I6" s="32"/>
      <x:c r="J6" s="29"/>
      <x:c r="K6" s="34" t="str">
        <x:v>https://api.odpt.org/api/v4/gtfs/realtime/odpt_KantoBus_AllLines_trip_update?acl%3AconsumerKey=</x:v>
      </x:c>
      <x:c r="L6" s="34" t="str">
        <x:v>https://api.odpt.org/api/v4/gtfs/realtime/odpt_KantoBus_AllLines_vehicle?acl%3AconsumerKey=</x:v>
      </x:c>
      <x:c r="M6" s="29" t="str">
        <x:v>中野区実証運行、すぎ丸、ムーバス、はなバス等</x:v>
      </x:c>
      <x:c r="N6" s="29" t="str">
        <x:f>IF(H6="","終了日未記載",IF(H6&lt;'調査概要'!$B$3,"期限切れ",IF(H6&lt;='調査概要'!$B$3+60,"60日以内","有効")))</x:f>
        <x:v>期限切れ</x:v>
      </x:c>
      <x:c r="O6" s="29" t="str">
        <x:v>カタログ掲載フィードは期限切れ。サービス終了を意味しない。現行URL/次期フィードを確認。</x:v>
      </x:c>
      <x:c r="P6" s="34" t="str">
        <x:v>https://bustime.jp/GtfsAgency/gtfs_list/</x:v>
      </x:c>
      <x:c r="Q6" s="32" t="n">
        <x:v>46256</x:v>
      </x:c>
    </x:row>
    <x:row r="7" ht="64" customHeight="1">
      <x:c r="A7" s="29" t="str">
        <x:v>OP004</x:v>
      </x:c>
      <x:c r="B7" s="29" t="str">
        <x:v>西東京バス</x:v>
      </x:c>
      <x:c r="C7" s="34" t="str">
        <x:v>https://api.odpt.org/api/v4/files/odpt/NishiTokyoBus/NTBus.zip?acl%3AconsumerKey=&amp;date=current</x:v>
      </x:c>
      <x:c r="D7" s="29" t="str">
        <x:v>ODPT利用登録・キー</x:v>
      </x:c>
      <x:c r="E7" s="29" t="str">
        <x:v>ODPT利用規約</x:v>
      </x:c>
      <x:c r="F7" s="32" t="n">
        <x:v>46233</x:v>
      </x:c>
      <x:c r="G7" s="32" t="n">
        <x:v>46235</x:v>
      </x:c>
      <x:c r="H7" s="32" t="n">
        <x:v>46262</x:v>
      </x:c>
      <x:c r="I7" s="32" t="n">
        <x:v>46263</x:v>
      </x:c>
      <x:c r="J7" s="29" t="n">
        <x:v>1947</x:v>
      </x:c>
      <x:c r="K7" s="34" t="str">
        <x:v>https://api.odpt.org/api/v4/gtfs/realtime/odpt_NishiTokyoBus_NTBus_trip_update?acl%3AconsumerKey=</x:v>
      </x:c>
      <x:c r="L7" s="34" t="str">
        <x:v>https://api.odpt.org/api/v4/gtfs/realtime/odpt_NishiTokyoBus_NTBus_vehicle?acl%3AconsumerKey=</x:v>
      </x:c>
      <x:c r="M7" s="29" t="str">
        <x:v>はちバス、はむらん、るのバス、ぐるり～ん ひのでちゃん等</x:v>
      </x:c>
      <x:c r="N7" s="29" t="str">
        <x:f>IF(H7="","終了日未記載",IF(H7&lt;'調査概要'!$B$3,"期限切れ",IF(H7&lt;='調査概要'!$B$3+60,"60日以内","有効")))</x:f>
        <x:v>60日以内</x:v>
      </x:c>
      <x:c r="O7" s="29" t="str">
        <x:v>有効終了が近いが次期開始日あり。自動切替と重複期間の整合確認が必要。</x:v>
      </x:c>
      <x:c r="P7" s="34" t="str">
        <x:v>https://bustime.jp/GtfsAgency/gtfs_list/</x:v>
      </x:c>
      <x:c r="Q7" s="32" t="n">
        <x:v>46256</x:v>
      </x:c>
    </x:row>
    <x:row r="8" ht="64" customHeight="1">
      <x:c r="A8" s="29" t="str">
        <x:v>OP005</x:v>
      </x:c>
      <x:c r="B8" s="29" t="str">
        <x:v>小田急バス</x:v>
      </x:c>
      <x:c r="C8" s="34" t="str">
        <x:v>https://api.odpt.org/api/v4/files/odpt/OdakyuBus/AIILines.zip?acl%3AconsumerKey=&amp;date=current</x:v>
      </x:c>
      <x:c r="D8" s="29" t="str">
        <x:v>ODPT利用登録・キー</x:v>
      </x:c>
      <x:c r="E8" s="29" t="str">
        <x:v>ODPT利用規約</x:v>
      </x:c>
      <x:c r="F8" s="32" t="n">
        <x:v>46215</x:v>
      </x:c>
      <x:c r="G8" s="32" t="n">
        <x:v>46219</x:v>
      </x:c>
      <x:c r="H8" s="32"/>
      <x:c r="I8" s="32"/>
      <x:c r="J8" s="29" t="n">
        <x:v>1921</x:v>
      </x:c>
      <x:c r="K8" s="34" t="str"/>
      <x:c r="L8" s="34" t="str"/>
      <x:c r="M8" s="29" t="str">
        <x:v>ムーバス、みたかシティバス、調布市ミニバス、玉ちゃんバス、こまバス、iバス等</x:v>
      </x:c>
      <x:c r="N8" s="29" t="str">
        <x:f>IF(H8="","終了日未記載",IF(H8&lt;'調査概要'!$B$3,"期限切れ",IF(H8&lt;='調査概要'!$B$3+60,"60日以内","有効")))</x:f>
        <x:v>終了日未記載</x:v>
      </x:c>
      <x:c r="O8" s="29" t="str">
        <x:v>終了日未記載。包括フィードから対象route_idを確定する。URL表記は提供元の「AIILines」をそのまま使用。</x:v>
      </x:c>
      <x:c r="P8" s="34" t="str">
        <x:v>https://bustime.jp/GtfsAgency/gtfs_list/</x:v>
      </x:c>
      <x:c r="Q8" s="32" t="n">
        <x:v>46256</x:v>
      </x:c>
    </x:row>
  </x:sheetData>
  <x:mergeCells>
    <x:mergeCell ref="A1:Q1"/>
    <x:mergeCell ref="A2:Q2"/>
  </x:mergeCells>
  <x:conditionalFormatting sqref="N4:N8">
    <x:cfRule type="expression" dxfId="16" priority="1">
      <x:formula>$N4="有効"</x:formula>
    </x:cfRule>
    <x:cfRule type="expression" dxfId="17" priority="2">
      <x:formula>$N4="60日以内"</x:formula>
    </x:cfRule>
    <x:cfRule type="expression" dxfId="18" priority="3">
      <x:formula>$N4="期限切れ"</x:formula>
    </x:cfRule>
    <x:cfRule type="expression" dxfId="19" priority="4">
      <x:formula>$N4="終了日未記載"</x:formula>
    </x:cfRule>
  </x:conditionalFormatting>
  <x:pageMargins left="0.7" right="0.7" top="0.75" bottom="0.75" header="0.3" footer="0.3"/>
  <x:tableParts count="1">
    <x:tablePart xmlns:r="http://schemas.openxmlformats.org/officeDocument/2006/relationships" r:id="Re17410fe109d4295"/>
  </x:tableParts>
</x:worksheet>
</file>

<file path=xl/worksheets/sheet6.xml><?xml version="1.0" encoding="utf-8"?>
<x:worksheet xmlns:x="http://schemas.openxmlformats.org/spreadsheetml/2006/main">
  <x:sheetFormatPr defaultRowHeight="15"/>
  <x:cols>
    <x:col min="1" max="1" width="11" hidden="0" customWidth="1"/>
    <x:col min="2" max="2" width="23" hidden="0" customWidth="1"/>
    <x:col min="3" max="3" width="12" hidden="0" customWidth="1"/>
    <x:col min="4" max="4" width="28" hidden="0" customWidth="1"/>
    <x:col min="5" max="5" width="42" hidden="0" customWidth="1"/>
    <x:col min="6" max="6" width="48" hidden="0" customWidth="1"/>
    <x:col min="7" max="7" width="45" hidden="0" customWidth="1"/>
    <x:col min="8" max="8" width="48" hidden="0" customWidth="1"/>
    <x:col min="9" max="9" width="18" hidden="0" customWidth="1"/>
    <x:col min="10" max="10" width="42" hidden="0" customWidth="1"/>
    <x:col min="11" max="11" width="12" hidden="0" customWidth="1"/>
  </x:cols>
  <x:sheetData>
    <x:row r="1" ht="30" customHeight="1">
      <x:c r="A1" s="5" t="str">
        <x:v>2023基準からの変更・要確認事項</x:v>
      </x:c>
      <x:c r="B1" s="5"/>
      <x:c r="C1" s="5"/>
      <x:c r="D1" s="5"/>
      <x:c r="E1" s="5"/>
      <x:c r="F1" s="5"/>
      <x:c r="G1" s="5"/>
      <x:c r="H1" s="5"/>
      <x:c r="I1" s="5"/>
      <x:c r="J1" s="5"/>
      <x:c r="K1" s="5"/>
    </x:row>
    <x:row r="2" ht="22" customHeight="1">
      <x:c r="A2" s="13" t="str">
        <x:v>運行廃止・新規追加・GTFS期限切れ・スコープ除外を差分管理</x:v>
      </x:c>
      <x:c r="B2" s="13"/>
      <x:c r="C2" s="13"/>
      <x:c r="D2" s="13"/>
      <x:c r="E2" s="13"/>
      <x:c r="F2" s="13"/>
      <x:c r="G2" s="13"/>
      <x:c r="H2" s="13"/>
      <x:c r="I2" s="13"/>
      <x:c r="J2" s="13"/>
      <x:c r="K2" s="13"/>
    </x:row>
    <x:row r="3" ht="36" customHeight="1">
      <x:c r="A3" s="36" t="str">
        <x:v>Change ID</x:v>
      </x:c>
      <x:c r="B3" s="36" t="str">
        <x:v>分類</x:v>
      </x:c>
      <x:c r="C3" s="36" t="str">
        <x:v>自治体</x:v>
      </x:c>
      <x:c r="D3" s="36" t="str">
        <x:v>サービス</x:v>
      </x:c>
      <x:c r="E3" s="36" t="str">
        <x:v>2023基準/旧状態</x:v>
      </x:c>
      <x:c r="F3" s="36" t="str">
        <x:v>2026現行確認</x:v>
      </x:c>
      <x:c r="G3" s="36" t="str">
        <x:v>アプリ影響</x:v>
      </x:c>
      <x:c r="H3" s="36" t="str">
        <x:v>具体対応</x:v>
      </x:c>
      <x:c r="I3" s="36" t="str">
        <x:v>状態</x:v>
      </x:c>
      <x:c r="J3" s="36" t="str">
        <x:v>出典URL</x:v>
      </x:c>
      <x:c r="K3" s="36" t="str">
        <x:v>確認日</x:v>
      </x:c>
    </x:row>
    <x:row r="4" ht="72" customHeight="1">
      <x:c r="A4" s="29" t="str">
        <x:v>C001</x:v>
      </x:c>
      <x:c r="B4" s="29" t="str">
        <x:v>路線追加・本格運行</x:v>
      </x:c>
      <x:c r="C4" s="29" t="str">
        <x:v>北区</x:v>
      </x:c>
      <x:c r="D4" s="29" t="str">
        <x:v>Kバス</x:v>
      </x:c>
      <x:c r="E4" s="29" t="str">
        <x:v>2023基準：王子・駒込、田端循環の2系統</x:v>
      </x:c>
      <x:c r="F4" s="29" t="str">
        <x:v>2026-04-01から浮間ルートを本格運行。現在3系統。</x:v>
      </x:c>
      <x:c r="G4" s="29" t="str">
        <x:v>サービス一覧とGTFSの対象路線を3系統へ更新。浮間を欠落させない。</x:v>
      </x:c>
      <x:c r="H4" s="29" t="str">
        <x:v>KitaAllLines.zipを取得し、routes/trips/stops/shapesを検証。</x:v>
      </x:c>
      <x:c r="I4" s="29" t="str">
        <x:v>反映済み</x:v>
      </x:c>
      <x:c r="J4" s="34" t="str">
        <x:v>https://www.city.kita.tokyo.jp/kurashi/bus/index.html</x:v>
      </x:c>
      <x:c r="K4" s="32" t="n">
        <x:v>46256</x:v>
      </x:c>
    </x:row>
    <x:row r="5" ht="72" customHeight="1">
      <x:c r="A5" s="29" t="str">
        <x:v>C002</x:v>
      </x:c>
      <x:c r="B5" s="29" t="str">
        <x:v>路線廃止・再編</x:v>
      </x:c>
      <x:c r="C5" s="29" t="str">
        <x:v>足立区</x:v>
      </x:c>
      <x:c r="D5" s="29" t="str">
        <x:v>はるかぜ</x:v>
      </x:c>
      <x:c r="E5" s="29" t="str">
        <x:v>2023基準：1～12号の12路線</x:v>
      </x:c>
      <x:c r="F5" s="29" t="str">
        <x:v>現行は1・2・4・5・6・8・9・11・12号の9路線。3・7・10号は終了、11号は運行区間変更。</x:v>
      </x:c>
      <x:c r="G5" s="29" t="str">
        <x:v>廃止路線を現在地マップに残すと誤案内になる。</x:v>
      </x:c>
      <x:c r="H5" s="29" t="str">
        <x:v>公式ページまたは現行時刻表から停留所・形状を再構築。Google Maps表示だけに依存しない。</x:v>
      </x:c>
      <x:c r="I5" s="29" t="str">
        <x:v>要データ化</x:v>
      </x:c>
      <x:c r="J5" s="34" t="str">
        <x:v>https://www.city.adachi.tokyo.jp/machi/kotsu/index.html</x:v>
      </x:c>
      <x:c r="K5" s="32" t="n">
        <x:v>46256</x:v>
      </x:c>
    </x:row>
    <x:row r="6" ht="72" customHeight="1">
      <x:c r="A6" s="29" t="str">
        <x:v>C003</x:v>
      </x:c>
      <x:c r="B6" s="29" t="str">
        <x:v>大幅再編・GTFS期限切れ</x:v>
      </x:c>
      <x:c r="C6" s="29" t="str">
        <x:v>稲城市</x:v>
      </x:c>
      <x:c r="D6" s="29" t="str">
        <x:v>iバス</x:v>
      </x:c>
      <x:c r="E6" s="29" t="str">
        <x:v>2023基準：A～Eの5コース</x:v>
      </x:c>
      <x:c r="F6" s="29" t="str">
        <x:v>2026-04-01からA・B・Cの3コースへ再編。公開個別GTFSは2025-03-31で期限切れ。</x:v>
      </x:c>
      <x:c r="G6" s="29" t="str">
        <x:v>期限切れGTFSをそのまま使うと旧5コースを表示する。</x:v>
      </x:c>
      <x:c r="H6" s="29" t="str">
        <x:v>小田急バス包括GTFSに現行iバスが含まれるかroutes.txtで照合。未収録なら自治体へデータ公開を照会。</x:v>
      </x:c>
      <x:c r="I6" s="29" t="str">
        <x:v>最優先確認</x:v>
      </x:c>
      <x:c r="J6" s="34" t="str">
        <x:v>https://www.city.inagi.tokyo.jp/kurashi/bus/index.html</x:v>
      </x:c>
      <x:c r="K6" s="32" t="n">
        <x:v>46256</x:v>
      </x:c>
    </x:row>
    <x:row r="7" ht="72" customHeight="1">
      <x:c r="A7" s="29" t="str">
        <x:v>C004</x:v>
      </x:c>
      <x:c r="B7" s="29" t="str">
        <x:v>新規サービス</x:v>
      </x:c>
      <x:c r="C7" s="29" t="str">
        <x:v>目黒区</x:v>
      </x:c>
      <x:c r="D7" s="29" t="str">
        <x:v>さんまバス</x:v>
      </x:c>
      <x:c r="E7" s="29" t="str">
        <x:v>2023基準資料に未掲載</x:v>
      </x:c>
      <x:c r="F7" s="29" t="str">
        <x:v>2024-03-26から実証運行。2026-04-01に運賃改定。</x:v>
      </x:c>
      <x:c r="G7" s="29" t="str">
        <x:v>基準一覧だけでは現行サービスを欠落する。</x:v>
      </x:c>
      <x:c r="H7" s="29" t="str">
        <x:v>ODPTの東急バス・目黒区フィードを更新監視付きで取り込む。</x:v>
      </x:c>
      <x:c r="I7" s="29" t="str">
        <x:v>反映済み</x:v>
      </x:c>
      <x:c r="J7" s="34" t="str">
        <x:v>https://www.city.meguro.tokyo.jp/toshikiban/kusei/keikaku/sanma_bus.html</x:v>
      </x:c>
      <x:c r="K7" s="32" t="n">
        <x:v>46256</x:v>
      </x:c>
    </x:row>
    <x:row r="8" ht="72" customHeight="1">
      <x:c r="A8" s="29" t="str">
        <x:v>C005</x:v>
      </x:c>
      <x:c r="B8" s="29" t="str">
        <x:v>新規サービス・GTFS-RT</x:v>
      </x:c>
      <x:c r="C8" s="29" t="str">
        <x:v>杉並区</x:v>
      </x:c>
      <x:c r="D8" s="29" t="str">
        <x:v>グリーンスローモビリティ</x:v>
      </x:c>
      <x:c r="E8" s="29" t="str">
        <x:v>2023基準資料に未掲載</x:v>
      </x:c>
      <x:c r="F8" s="29" t="str">
        <x:v>2024-11-25から本格運行。2026年時点で静的GTFSと公開GTFS-RTを確認。</x:v>
      </x:c>
      <x:c r="G8" s="29" t="str">
        <x:v>ライブ車両位置表示の小規模な参照実装に使える。</x:v>
      </x:c>
      <x:c r="H8" s="29" t="str">
        <x:v>TripUpdateとVehiclePositionを15～30秒間隔で取得し、静的trip_idとの結合を検証。</x:v>
      </x:c>
      <x:c r="I8" s="29" t="str">
        <x:v>反映済み</x:v>
      </x:c>
      <x:c r="J8" s="34" t="str">
        <x:v>https://www.city.suginami.tokyo.jp/s092/17102.html</x:v>
      </x:c>
      <x:c r="K8" s="32" t="n">
        <x:v>46256</x:v>
      </x:c>
    </x:row>
    <x:row r="9" ht="72" customHeight="1">
      <x:c r="A9" s="29" t="str">
        <x:v>C006</x:v>
      </x:c>
      <x:c r="B9" s="29" t="str">
        <x:v>新規サービス・GTFS Flex</x:v>
      </x:c>
      <x:c r="C9" s="29" t="str">
        <x:v>瑞穂町</x:v>
      </x:c>
      <x:c r="D9" s="29" t="str">
        <x:v>チョイソコみずほまち</x:v>
      </x:c>
      <x:c r="E9" s="29" t="str">
        <x:v>2023基準資料に未掲載</x:v>
      </x:c>
      <x:c r="F9" s="29" t="str">
        <x:v>GTFS Flexフィードを確認。有効終了は2026-09-30。</x:v>
      </x:c>
      <x:c r="G9" s="29" t="str">
        <x:v>固定停留所中心のデータモデルだけでは表現できない。</x:v>
      </x:c>
      <x:c r="H9" s="29" t="str">
        <x:v>予約型交通として別レイヤー化し、乗降エリア・予約導線を表示。</x:v>
      </x:c>
      <x:c r="I9" s="29" t="str">
        <x:v>期限更新要監視</x:v>
      </x:c>
      <x:c r="J9" s="34" t="str">
        <x:v>https://www.town.mizuho.tokyo.jp/kankyo/004/index.html</x:v>
      </x:c>
      <x:c r="K9" s="32" t="n">
        <x:v>46256</x:v>
      </x:c>
    </x:row>
    <x:row r="10" ht="72" customHeight="1">
      <x:c r="A10" s="29" t="str">
        <x:v>C007</x:v>
      </x:c>
      <x:c r="B10" s="29" t="str">
        <x:v>実証終了</x:v>
      </x:c>
      <x:c r="C10" s="29" t="str">
        <x:v>荒川区</x:v>
      </x:c>
      <x:c r="D10" s="29" t="str">
        <x:v>旧町屋さくらルートのデマンド交通</x:v>
      </x:c>
      <x:c r="E10" s="29" t="str">
        <x:v>基準資料に「令和6年3月末まで」と明記</x:v>
      </x:c>
      <x:c r="F10" s="29" t="str">
        <x:v>2024-03-31で実証期間終了。</x:v>
      </x:c>
      <x:c r="G10" s="29" t="str">
        <x:v>現行サービスとして表示しない。</x:v>
      </x:c>
      <x:c r="H10" s="29" t="str">
        <x:v>履歴データとして保持し、対象フラグを終了に設定。</x:v>
      </x:c>
      <x:c r="I10" s="29" t="str">
        <x:v>反映済み</x:v>
      </x:c>
      <x:c r="J10" s="34" t="str">
        <x:v>https://www.city.arakawa.tokyo.jp/a040/koutsuu-bus/komyuniteibasu/sakura.html</x:v>
      </x:c>
      <x:c r="K10" s="32" t="n">
        <x:v>46256</x:v>
      </x:c>
    </x:row>
    <x:row r="11" ht="72" customHeight="1">
      <x:c r="A11" s="29" t="str">
        <x:v>C008</x:v>
      </x:c>
      <x:c r="B11" s="29" t="str">
        <x:v>スコープ除外</x:v>
      </x:c>
      <x:c r="C11" s="29" t="str">
        <x:v>江東区</x:v>
      </x:c>
      <x:c r="D11" s="29" t="str">
        <x:v>しおかぜ</x:v>
      </x:c>
      <x:c r="E11" s="29" t="str">
        <x:v>自治体コミュニティバス一覧に掲載、運行事業者は東京都交通局</x:v>
      </x:c>
      <x:c r="F11" s="29" t="str">
        <x:v>今回の要件は都バスを除外。</x:v>
      </x:c>
      <x:c r="G11" s="29" t="str">
        <x:v>サービス台帳には残すが、アプリの既定表示対象から除外。</x:v>
      </x:c>
      <x:c r="H11" s="29" t="str">
        <x:v>target_status=除外（都営バス）としてフィルタ。</x:v>
      </x:c>
      <x:c r="I11" s="29" t="str">
        <x:v>反映済み</x:v>
      </x:c>
      <x:c r="J11" s="34" t="str">
        <x:v>https://www.city.koto.lg.jp/470801/kurashi/kotsu/kokyo/13116.html</x:v>
      </x:c>
      <x:c r="K11" s="32" t="n">
        <x:v>46256</x:v>
      </x:c>
    </x:row>
    <x:row r="12" ht="72" customHeight="1">
      <x:c r="A12" s="29" t="str">
        <x:v>C009</x:v>
      </x:c>
      <x:c r="B12" s="29" t="str">
        <x:v>原典データ不整合</x:v>
      </x:c>
      <x:c r="C12" s="29" t="str">
        <x:v>神津島村</x:v>
      </x:c>
      <x:c r="D12" s="29" t="str">
        <x:v>神津島村村営バス</x:v>
      </x:c>
      <x:c r="E12" s="29" t="str">
        <x:v>2023基準Excelの運行事業者欄が「新島村」</x:v>
      </x:c>
      <x:c r="F12" s="29" t="str">
        <x:v>現行GTFSは神津島村名義で公開。</x:v>
      </x:c>
      <x:c r="G12" s="29" t="str">
        <x:v>事業者IDの誤正規化・帰属表示誤りの原因になる。</x:v>
      </x:c>
      <x:c r="H12" s="29" t="str">
        <x:v>公式ページとagency.txtを正とし、原典値は監査列に保持。</x:v>
      </x:c>
      <x:c r="I12" s="29" t="str">
        <x:v>要原典確認</x:v>
      </x:c>
      <x:c r="J12" s="34" t="str">
        <x:v>https://www.vill.kouzushima.tokyo.jp/transport/</x:v>
      </x:c>
      <x:c r="K12" s="32" t="n">
        <x:v>46256</x:v>
      </x:c>
    </x:row>
    <x:row r="13" ht="72" customHeight="1">
      <x:c r="A13" s="29" t="str">
        <x:v>C010</x:v>
      </x:c>
      <x:c r="B13" s="29" t="str">
        <x:v>有効期限監視</x:v>
      </x:c>
      <x:c r="C13" s="29" t="str">
        <x:v>複数</x:v>
      </x:c>
      <x:c r="D13" s="29" t="str">
        <x:v>しなバス／たまちゃん／さんまバス／チョイソコみずほまち</x:v>
      </x:c>
      <x:c r="E13" s="29" t="str">
        <x:v>—</x:v>
      </x:c>
      <x:c r="F13" s="29" t="str">
        <x:v>確認時点でGTFS有効終了が2026-09-30。</x:v>
      </x:c>
      <x:c r="G13" s="29" t="str">
        <x:v>自動更新がないと10月以降に古いダイヤを配信する。</x:v>
      </x:c>
      <x:c r="H13" s="29" t="str">
        <x:v>毎日HEAD/GETし、ETag・Last-Modified・SHA-256・feed_infoを保存。終了60日前から警告。</x:v>
      </x:c>
      <x:c r="I13" s="29" t="str">
        <x:v>更新ジョブ必須</x:v>
      </x:c>
      <x:c r="J13" s="34" t="str">
        <x:v>https://bustime.jp/GtfsAgency/gtfs_list/</x:v>
      </x:c>
      <x:c r="K13" s="32" t="n">
        <x:v>46256</x:v>
      </x:c>
    </x:row>
    <x:row r="14" ht="72" customHeight="1">
      <x:c r="A14" s="29" t="str">
        <x:v>C011</x:v>
      </x:c>
      <x:c r="B14" s="29" t="str">
        <x:v>包括フィード照合</x:v>
      </x:c>
      <x:c r="C14" s="29" t="str">
        <x:v>複数</x:v>
      </x:c>
      <x:c r="D14" s="29" t="str">
        <x:v>京王・西武・関東・西東京・小田急の自治体路線</x:v>
      </x:c>
      <x:c r="E14" s="29" t="str">
        <x:v>事業者単位ではなく自治体サービス単位の一覧</x:v>
      </x:c>
      <x:c r="F14" s="29" t="str">
        <x:v>事業者包括GTFSは現行候補だが、自治体路線の収録範囲はroutes.txt照合前。</x:v>
      </x:c>
      <x:c r="G14" s="29" t="str">
        <x:v>通常路線を誤ってコミュニティバスとして表示する可能性。</x:v>
      </x:c>
      <x:c r="H14" s="29" t="str">
        <x:v>agency_id、route_id、route_short_name、route_long_name、route_desc、停留所範囲でホワイトリスト化。</x:v>
      </x:c>
      <x:c r="I14" s="29" t="str">
        <x:v>要照合</x:v>
      </x:c>
      <x:c r="J14" s="34" t="str">
        <x:v>https://bustime.jp/GtfsAgency/gtfs_list/</x:v>
      </x:c>
      <x:c r="K14" s="32" t="n">
        <x:v>46256</x:v>
      </x:c>
    </x:row>
    <x:row r="15" ht="72" customHeight="1">
      <x:c r="A15" s="29" t="str">
        <x:v>C012</x:v>
      </x:c>
      <x:c r="B15" s="29" t="str">
        <x:v>静的／リアルタイム分離</x:v>
      </x:c>
      <x:c r="C15" s="29" t="str">
        <x:v>全体</x:v>
      </x:c>
      <x:c r="D15" s="29" t="str">
        <x:v>車両位置表示</x:v>
      </x:c>
      <x:c r="E15" s="29" t="str">
        <x:v>基準資料は運行サービス一覧のみ</x:v>
      </x:c>
      <x:c r="F15" s="29" t="str">
        <x:v>静的GTFS公開と車両位置閲覧画面の有無は別。公開GTFS-RTを確認できたコアは現時点で限定的。</x:v>
      </x:c>
      <x:c r="G15" s="29" t="str">
        <x:v>閲覧画面のスクレイピングは規約・安定性・障害対応でリスクが高い。</x:v>
      </x:c>
      <x:c r="H15" s="29" t="str">
        <x:v>まず静的GTFS＋現在地＋近傍停留所を完成。GTFS-RT公開路線のみライブ車両レイヤーを追加。</x:v>
      </x:c>
      <x:c r="I15" s="29" t="str">
        <x:v>設計方針</x:v>
      </x:c>
      <x:c r="J15" s="34" t="str">
        <x:v>https://gtfs.org/documentation/realtime/reference/</x:v>
      </x:c>
      <x:c r="K15" s="32" t="n">
        <x:v>46256</x:v>
      </x:c>
    </x:row>
  </x:sheetData>
  <x:mergeCells>
    <x:mergeCell ref="A1:K1"/>
    <x:mergeCell ref="A2:K2"/>
  </x:mergeCells>
  <x:conditionalFormatting sqref="I4:I15">
    <x:cfRule type="expression" dxfId="20" priority="1">
      <x:formula>ISNUMBER(SEARCH("反映済み",$I4))</x:formula>
    </x:cfRule>
    <x:cfRule type="expression" dxfId="21" priority="2">
      <x:formula>ISNUMBER(SEARCH("要",$I4))</x:formula>
    </x:cfRule>
    <x:cfRule type="expression" dxfId="22" priority="3">
      <x:formula>ISNUMBER(SEARCH("最優先",$I4))</x:formula>
    </x:cfRule>
  </x:conditionalFormatting>
  <x:pageMargins left="0.7" right="0.7" top="0.75" bottom="0.75" header="0.3" footer="0.3"/>
  <x:tableParts count="1">
    <x:tablePart xmlns:r="http://schemas.openxmlformats.org/officeDocument/2006/relationships" r:id="R41a6b6e5bfc24718"/>
  </x:tableParts>
</x:worksheet>
</file>

<file path=xl/worksheets/sheet7.xml><?xml version="1.0" encoding="utf-8"?>
<x:worksheet xmlns:x="http://schemas.openxmlformats.org/spreadsheetml/2006/main">
  <x:sheetFormatPr defaultRowHeight="15"/>
  <x:cols>
    <x:col min="1" max="1" width="14" hidden="0" customWidth="1"/>
    <x:col min="2" max="2" width="11" hidden="0" customWidth="1"/>
    <x:col min="3" max="3" width="48" hidden="0" customWidth="1"/>
    <x:col min="4" max="4" width="44" hidden="0" customWidth="1"/>
    <x:col min="5" max="5" width="44" hidden="0" customWidth="1"/>
    <x:col min="6" max="6" width="12" hidden="0" customWidth="1"/>
    <x:col min="7" max="7" width="30" hidden="0" customWidth="1"/>
  </x:cols>
  <x:sheetData>
    <x:row r="1" ht="30" customHeight="1">
      <x:c r="A1" s="5" t="str">
        <x:v>自治体公式サイト・地域公共交通計画</x:v>
      </x:c>
      <x:c r="B1" s="5"/>
      <x:c r="C1" s="5"/>
      <x:c r="D1" s="5"/>
      <x:c r="E1" s="5"/>
      <x:c r="F1" s="5"/>
      <x:c r="G1" s="5"/>
    </x:row>
    <x:row r="2" ht="22" customHeight="1">
      <x:c r="A2" s="13" t="str">
        <x:v>東京都基準Excelに収録された公式サイトと計画名を整理</x:v>
      </x:c>
      <x:c r="B2" s="13"/>
      <x:c r="C2" s="13"/>
      <x:c r="D2" s="13"/>
      <x:c r="E2" s="13"/>
      <x:c r="F2" s="13"/>
      <x:c r="G2" s="13"/>
    </x:row>
    <x:row r="3" ht="36" customHeight="1">
      <x:c r="A3" s="36" t="str">
        <x:v>自治体</x:v>
      </x:c>
      <x:c r="B3" s="36" t="str">
        <x:v>地域区分</x:v>
      </x:c>
      <x:c r="C3" s="36" t="str">
        <x:v>公式サイト/交通ページ</x:v>
      </x:c>
      <x:c r="D3" s="36" t="str">
        <x:v>地域公共交通計画等</x:v>
      </x:c>
      <x:c r="E3" s="36" t="str">
        <x:v>東京都基準資料URL</x:v>
      </x:c>
      <x:c r="F3" s="36" t="str">
        <x:v>確認日</x:v>
      </x:c>
      <x:c r="G3" s="36" t="str">
        <x:v>備考</x:v>
      </x:c>
    </x:row>
    <x:row r="4" ht="44" customHeight="1">
      <x:c r="A4" s="29" t="str">
        <x:v>世田谷区</x:v>
      </x:c>
      <x:c r="B4" s="29" t="str">
        <x:v>23区</x:v>
      </x:c>
      <x:c r="C4" s="34" t="str">
        <x:v>https://www.city.setagaya.lg.jp/mokuji/sumai/007/001/index.html</x:v>
      </x:c>
      <x:c r="D4" s="29" t="str">
        <x:v>世田谷区地域公共交通計画 （令和７年３月策定予定）</x:v>
      </x:c>
      <x:c r="E4" s="34" t="str">
        <x:v>https://www.toshiseibi1.metro.tokyo.lg.jp/bunyabetsu/kotsu_butsuryu/pdf/index_koutuu_02.xlsx</x:v>
      </x:c>
      <x:c r="F4" s="32" t="n">
        <x:v>46256</x:v>
      </x:c>
      <x:c r="G4" s="29" t="str"/>
    </x:row>
    <x:row r="5" ht="44" customHeight="1">
      <x:c r="A5" s="29" t="str">
        <x:v>中央区</x:v>
      </x:c>
      <x:c r="B5" s="29" t="str">
        <x:v>23区</x:v>
      </x:c>
      <x:c r="C5" s="34" t="str">
        <x:v>https://www.city.chuo.lg.jp/kurashi/koutsuu/koukyoukoutsuu/edobasu/index.html</x:v>
      </x:c>
      <x:c r="D5" s="29" t="str">
        <x:v>中央区総合交通計画2022 （令和４年３月）</x:v>
      </x:c>
      <x:c r="E5" s="34" t="str">
        <x:v>https://www.toshiseibi1.metro.tokyo.lg.jp/bunyabetsu/kotsu_butsuryu/pdf/index_koutuu_02.xlsx</x:v>
      </x:c>
      <x:c r="F5" s="32" t="n">
        <x:v>46256</x:v>
      </x:c>
      <x:c r="G5" s="29" t="str"/>
    </x:row>
    <x:row r="6" ht="44" customHeight="1">
      <x:c r="A6" s="29" t="str">
        <x:v>中野区</x:v>
      </x:c>
      <x:c r="B6" s="29" t="str">
        <x:v>23区</x:v>
      </x:c>
      <x:c r="C6" s="34" t="str">
        <x:v>https://www.city.tokyo-nakano.lg.jp/machizukuri/koutsu/kokyokotsu-jikken/kokyokotsu-jikken.html</x:v>
      </x:c>
      <x:c r="D6" s="29" t="str">
        <x:v>中野区交通政策基本方針 （令和４年３月）</x:v>
      </x:c>
      <x:c r="E6" s="34" t="str">
        <x:v>https://www.toshiseibi1.metro.tokyo.lg.jp/bunyabetsu/kotsu_butsuryu/pdf/index_koutuu_02.xlsx</x:v>
      </x:c>
      <x:c r="F6" s="32" t="n">
        <x:v>46256</x:v>
      </x:c>
      <x:c r="G6" s="29" t="str"/>
    </x:row>
    <x:row r="7" ht="44" customHeight="1">
      <x:c r="A7" s="29" t="str">
        <x:v>北区</x:v>
      </x:c>
      <x:c r="B7" s="29" t="str">
        <x:v>23区</x:v>
      </x:c>
      <x:c r="C7" s="34" t="str">
        <x:v>https://www.city.kita.tokyo.jp/kurashi/bus/index.html</x:v>
      </x:c>
      <x:c r="D7" s="29" t="str">
        <x:v>北区地域公共交通計画 (令和３年３月）</x:v>
      </x:c>
      <x:c r="E7" s="34" t="str">
        <x:v>https://www.toshiseibi1.metro.tokyo.lg.jp/bunyabetsu/kotsu_butsuryu/pdf/index_koutuu_02.xlsx</x:v>
      </x:c>
      <x:c r="F7" s="32" t="n">
        <x:v>46256</x:v>
      </x:c>
      <x:c r="G7" s="29" t="str"/>
    </x:row>
    <x:row r="8" ht="44" customHeight="1">
      <x:c r="A8" s="29" t="str">
        <x:v>千代田区</x:v>
      </x:c>
      <x:c r="B8" s="29" t="str">
        <x:v>23区</x:v>
      </x:c>
      <x:c r="C8" s="34" t="str">
        <x:v>https://www.city.chiyoda.lg.jp/koho/kenko/koresha/gaishutsu/shin-kazaguruma/h28kaisei.html</x:v>
      </x:c>
      <x:c r="D8" s="29" t="str"/>
      <x:c r="E8" s="34" t="str">
        <x:v>https://www.toshiseibi1.metro.tokyo.lg.jp/bunyabetsu/kotsu_butsuryu/pdf/index_koutuu_02.xlsx</x:v>
      </x:c>
      <x:c r="F8" s="32" t="n">
        <x:v>46256</x:v>
      </x:c>
      <x:c r="G8" s="29" t="str"/>
    </x:row>
    <x:row r="9" ht="44" customHeight="1">
      <x:c r="A9" s="29" t="str">
        <x:v>台東区</x:v>
      </x:c>
      <x:c r="B9" s="29" t="str">
        <x:v>23区</x:v>
      </x:c>
      <x:c r="C9" s="34" t="str">
        <x:v>https://www.city.taito.lg.jp/kenchiku/kotsu/megurin/index.html</x:v>
      </x:c>
      <x:c r="D9" s="29" t="str"/>
      <x:c r="E9" s="34" t="str">
        <x:v>https://www.toshiseibi1.metro.tokyo.lg.jp/bunyabetsu/kotsu_butsuryu/pdf/index_koutuu_02.xlsx</x:v>
      </x:c>
      <x:c r="F9" s="32" t="n">
        <x:v>46256</x:v>
      </x:c>
      <x:c r="G9" s="29" t="str"/>
    </x:row>
    <x:row r="10" ht="44" customHeight="1">
      <x:c r="A10" s="29" t="str">
        <x:v>品川区</x:v>
      </x:c>
      <x:c r="B10" s="29" t="str">
        <x:v>23区</x:v>
      </x:c>
      <x:c r="C10" s="34" t="str">
        <x:v>https://www.city.shinagawa.tokyo.jp/PC/kankyo/kankyo-toshiseibi/20211220205530.html</x:v>
      </x:c>
      <x:c r="D10" s="29" t="str">
        <x:v>品川区地域公共交通基本方針 （令和２年10月）</x:v>
      </x:c>
      <x:c r="E10" s="34" t="str">
        <x:v>https://www.toshiseibi1.metro.tokyo.lg.jp/bunyabetsu/kotsu_butsuryu/pdf/index_koutuu_02.xlsx</x:v>
      </x:c>
      <x:c r="F10" s="32" t="n">
        <x:v>46256</x:v>
      </x:c>
      <x:c r="G10" s="29" t="str"/>
    </x:row>
    <x:row r="11" ht="44" customHeight="1">
      <x:c r="A11" s="29" t="str">
        <x:v>墨田区</x:v>
      </x:c>
      <x:c r="B11" s="29" t="str">
        <x:v>23区</x:v>
      </x:c>
      <x:c r="C11" s="34" t="str">
        <x:v>https://www.city.sumida.lg.jp/kurashi/jyunkanbus/index.html</x:v>
      </x:c>
      <x:c r="D11" s="29" t="str"/>
      <x:c r="E11" s="34" t="str">
        <x:v>https://www.toshiseibi1.metro.tokyo.lg.jp/bunyabetsu/kotsu_butsuryu/pdf/index_koutuu_02.xlsx</x:v>
      </x:c>
      <x:c r="F11" s="32" t="n">
        <x:v>46256</x:v>
      </x:c>
      <x:c r="G11" s="29" t="str"/>
    </x:row>
    <x:row r="12" ht="44" customHeight="1">
      <x:c r="A12" s="29" t="str">
        <x:v>大田区</x:v>
      </x:c>
      <x:c r="B12" s="29" t="str">
        <x:v>23区</x:v>
      </x:c>
      <x:c r="C12" s="34" t="str">
        <x:v>https://www.city.ota.tokyo.jp/seikatsu/sumaimachinami/koutsu/communitybusdounyu/communitybusyaguti/communitybus_chiiki_yaguchi.html</x:v>
      </x:c>
      <x:c r="D12" s="29" t="str">
        <x:v>大田区コミュニティバス等検討会議［矢口地域］ （平成21年８月５日）／大田区交通政策基本計画 （平成30年３月策定）</x:v>
      </x:c>
      <x:c r="E12" s="34" t="str">
        <x:v>https://www.toshiseibi1.metro.tokyo.lg.jp/bunyabetsu/kotsu_butsuryu/pdf/index_koutuu_02.xlsx</x:v>
      </x:c>
      <x:c r="F12" s="32" t="n">
        <x:v>46256</x:v>
      </x:c>
      <x:c r="G12" s="29" t="str"/>
    </x:row>
    <x:row r="13" ht="44" customHeight="1">
      <x:c r="A13" s="29" t="str">
        <x:v>文京区</x:v>
      </x:c>
      <x:c r="B13" s="29" t="str">
        <x:v>23区</x:v>
      </x:c>
      <x:c r="C13" s="34" t="str">
        <x:v>https://www.city.bunkyo.lg.jp/tetsuzuki/bus/b-guru.html</x:v>
      </x:c>
      <x:c r="D13" s="29" t="str"/>
      <x:c r="E13" s="34" t="str">
        <x:v>https://www.toshiseibi1.metro.tokyo.lg.jp/bunyabetsu/kotsu_butsuryu/pdf/index_koutuu_02.xlsx</x:v>
      </x:c>
      <x:c r="F13" s="32" t="n">
        <x:v>46256</x:v>
      </x:c>
      <x:c r="G13" s="29" t="str"/>
    </x:row>
    <x:row r="14" ht="44" customHeight="1">
      <x:c r="A14" s="29" t="str">
        <x:v>新宿区</x:v>
      </x:c>
      <x:c r="B14" s="29" t="str">
        <x:v>23区</x:v>
      </x:c>
      <x:c r="C14" s="34" t="str">
        <x:v>https://www.city.shinjuku.lg.jp/seikatsu/file17_06_00001.html</x:v>
      </x:c>
      <x:c r="D14" s="29" t="str"/>
      <x:c r="E14" s="34" t="str">
        <x:v>https://www.toshiseibi1.metro.tokyo.lg.jp/bunyabetsu/kotsu_butsuryu/pdf/index_koutuu_02.xlsx</x:v>
      </x:c>
      <x:c r="F14" s="32" t="n">
        <x:v>46256</x:v>
      </x:c>
      <x:c r="G14" s="29" t="str"/>
    </x:row>
    <x:row r="15" ht="44" customHeight="1">
      <x:c r="A15" s="29" t="str">
        <x:v>杉並区</x:v>
      </x:c>
      <x:c r="B15" s="29" t="str">
        <x:v>23区</x:v>
      </x:c>
      <x:c r="C15" s="34" t="str">
        <x:v>https://www.city.suginami.tokyo.jp/guide/machi/bus/index.html</x:v>
      </x:c>
      <x:c r="D15" s="29" t="str">
        <x:v>杉並区地域公共交通計画 （令和５年３月策定）</x:v>
      </x:c>
      <x:c r="E15" s="34" t="str">
        <x:v>https://www.toshiseibi1.metro.tokyo.lg.jp/bunyabetsu/kotsu_butsuryu/pdf/index_koutuu_02.xlsx</x:v>
      </x:c>
      <x:c r="F15" s="32" t="n">
        <x:v>46256</x:v>
      </x:c>
      <x:c r="G15" s="29" t="str"/>
    </x:row>
    <x:row r="16" ht="44" customHeight="1">
      <x:c r="A16" s="29" t="str">
        <x:v>板橋区</x:v>
      </x:c>
      <x:c r="B16" s="29" t="str">
        <x:v>23区</x:v>
      </x:c>
      <x:c r="C16" s="34" t="str">
        <x:v>https://www.city.itabashi.tokyo.jp/bousai/toshikeiakku/kotsu/index.html</x:v>
      </x:c>
      <x:c r="D16" s="29" t="str">
        <x:v>板橋区交通政策基本計画 （令和２年５月）</x:v>
      </x:c>
      <x:c r="E16" s="34" t="str">
        <x:v>https://www.toshiseibi1.metro.tokyo.lg.jp/bunyabetsu/kotsu_butsuryu/pdf/index_koutuu_02.xlsx</x:v>
      </x:c>
      <x:c r="F16" s="32" t="n">
        <x:v>46256</x:v>
      </x:c>
      <x:c r="G16" s="29" t="str"/>
    </x:row>
    <x:row r="17" ht="44" customHeight="1">
      <x:c r="A17" s="29" t="str">
        <x:v>江戸川区</x:v>
      </x:c>
      <x:c r="B17" s="29" t="str">
        <x:v>23区</x:v>
      </x:c>
      <x:c r="C17" s="34" t="str">
        <x:v>https://www.city.edogawa.tokyo.jp/kurashi/kotsu/bus/index.html</x:v>
      </x:c>
      <x:c r="D17" s="29" t="str">
        <x:v>江戸川区地域公共交通計画 (令和３年３月)</x:v>
      </x:c>
      <x:c r="E17" s="34" t="str">
        <x:v>https://www.toshiseibi1.metro.tokyo.lg.jp/bunyabetsu/kotsu_butsuryu/pdf/index_koutuu_02.xlsx</x:v>
      </x:c>
      <x:c r="F17" s="32" t="n">
        <x:v>46256</x:v>
      </x:c>
      <x:c r="G17" s="29" t="str"/>
    </x:row>
    <x:row r="18" ht="44" customHeight="1">
      <x:c r="A18" s="29" t="str">
        <x:v>江東区</x:v>
      </x:c>
      <x:c r="B18" s="29" t="str">
        <x:v>23区</x:v>
      </x:c>
      <x:c r="C18" s="34" t="str">
        <x:v>https://www.city.koto.lg.jp/470801/kurashi/kotsu/kokyo/13116.html</x:v>
      </x:c>
      <x:c r="D18" s="29" t="str"/>
      <x:c r="E18" s="34" t="str">
        <x:v>https://www.toshiseibi1.metro.tokyo.lg.jp/bunyabetsu/kotsu_butsuryu/pdf/index_koutuu_02.xlsx</x:v>
      </x:c>
      <x:c r="F18" s="32" t="n">
        <x:v>46256</x:v>
      </x:c>
      <x:c r="G18" s="29" t="str"/>
    </x:row>
    <x:row r="19" ht="44" customHeight="1">
      <x:c r="A19" s="29" t="str">
        <x:v>渋谷区</x:v>
      </x:c>
      <x:c r="B19" s="29" t="str">
        <x:v>23区</x:v>
      </x:c>
      <x:c r="C19" s="34" t="str">
        <x:v>https://www.city.shibuya.tokyo.jp/kurashi/kotsu/hachiko_bus/index.html?=20170605yokumi</x:v>
      </x:c>
      <x:c r="D19" s="29" t="str"/>
      <x:c r="E19" s="34" t="str">
        <x:v>https://www.toshiseibi1.metro.tokyo.lg.jp/bunyabetsu/kotsu_butsuryu/pdf/index_koutuu_02.xlsx</x:v>
      </x:c>
      <x:c r="F19" s="32" t="n">
        <x:v>46256</x:v>
      </x:c>
      <x:c r="G19" s="29" t="str"/>
    </x:row>
    <x:row r="20" ht="44" customHeight="1">
      <x:c r="A20" s="29" t="str">
        <x:v>港区</x:v>
      </x:c>
      <x:c r="B20" s="29" t="str">
        <x:v>23区</x:v>
      </x:c>
      <x:c r="C20" s="34" t="str">
        <x:v>https://www.city.minato.tokyo.jp/tiikikoututan/traffic_strategy.html</x:v>
      </x:c>
      <x:c r="D20" s="29" t="str">
        <x:v>港区総合交通計画 （令和５年３月）</x:v>
      </x:c>
      <x:c r="E20" s="34" t="str">
        <x:v>https://www.toshiseibi1.metro.tokyo.lg.jp/bunyabetsu/kotsu_butsuryu/pdf/index_koutuu_02.xlsx</x:v>
      </x:c>
      <x:c r="F20" s="32" t="n">
        <x:v>46256</x:v>
      </x:c>
      <x:c r="G20" s="29" t="str"/>
    </x:row>
    <x:row r="21" ht="44" customHeight="1">
      <x:c r="A21" s="29" t="str">
        <x:v>目黒区</x:v>
      </x:c>
      <x:c r="B21" s="29" t="str">
        <x:v>23区</x:v>
      </x:c>
      <x:c r="C21" s="34" t="str">
        <x:v>https://www.city.meguro.tokyo.jp/gyosei/keikaku/keikaku/yasashi_machi/shisetsuseibi/tiikikotu/siennhousin.html</x:v>
      </x:c>
      <x:c r="D21" s="29" t="str">
        <x:v>目黒区地域交通の支援方針 （令和２年６月）</x:v>
      </x:c>
      <x:c r="E21" s="34" t="str">
        <x:v>https://www.toshiseibi1.metro.tokyo.lg.jp/bunyabetsu/kotsu_butsuryu/pdf/index_koutuu_02.xlsx</x:v>
      </x:c>
      <x:c r="F21" s="32" t="n">
        <x:v>46256</x:v>
      </x:c>
      <x:c r="G21" s="29" t="str"/>
    </x:row>
    <x:row r="22" ht="44" customHeight="1">
      <x:c r="A22" s="29" t="str">
        <x:v>練馬区</x:v>
      </x:c>
      <x:c r="B22" s="29" t="str">
        <x:v>23区</x:v>
      </x:c>
      <x:c r="C22" s="34" t="str">
        <x:v>https://www.city.nerima.tokyo.jp/kurashi/sumai/bus/index.html</x:v>
      </x:c>
      <x:c r="D22" s="29" t="str">
        <x:v>公共交通空白地域改善計画 （平成21年３月）</x:v>
      </x:c>
      <x:c r="E22" s="34" t="str">
        <x:v>https://www.toshiseibi1.metro.tokyo.lg.jp/bunyabetsu/kotsu_butsuryu/pdf/index_koutuu_02.xlsx</x:v>
      </x:c>
      <x:c r="F22" s="32" t="n">
        <x:v>46256</x:v>
      </x:c>
      <x:c r="G22" s="29" t="str"/>
    </x:row>
    <x:row r="23" ht="44" customHeight="1">
      <x:c r="A23" s="29" t="str">
        <x:v>荒川区</x:v>
      </x:c>
      <x:c r="B23" s="29" t="str">
        <x:v>23区</x:v>
      </x:c>
      <x:c r="C23" s="34" t="str">
        <x:v>https://www.city.arakawa.tokyo.jp/a040/koutsuu-bus/komyuniteibasu/sakura.html</x:v>
      </x:c>
      <x:c r="D23" s="29" t="str"/>
      <x:c r="E23" s="34" t="str">
        <x:v>https://www.toshiseibi1.metro.tokyo.lg.jp/bunyabetsu/kotsu_butsuryu/pdf/index_koutuu_02.xlsx</x:v>
      </x:c>
      <x:c r="F23" s="32" t="n">
        <x:v>46256</x:v>
      </x:c>
      <x:c r="G23" s="29" t="str"/>
    </x:row>
    <x:row r="24" ht="44" customHeight="1">
      <x:c r="A24" s="29" t="str">
        <x:v>葛飾区</x:v>
      </x:c>
      <x:c r="B24" s="29" t="str">
        <x:v>23区</x:v>
      </x:c>
      <x:c r="C24" s="34" t="str">
        <x:v>https://www.city.katsushika.lg.jp/planning/1030243/1003616/index.html</x:v>
      </x:c>
      <x:c r="D24" s="29" t="str">
        <x:v>葛飾区公共交通網整備方針 （令和元年５月）</x:v>
      </x:c>
      <x:c r="E24" s="34" t="str">
        <x:v>https://www.toshiseibi1.metro.tokyo.lg.jp/bunyabetsu/kotsu_butsuryu/pdf/index_koutuu_02.xlsx</x:v>
      </x:c>
      <x:c r="F24" s="32" t="n">
        <x:v>46256</x:v>
      </x:c>
      <x:c r="G24" s="29" t="str"/>
    </x:row>
    <x:row r="25" ht="44" customHeight="1">
      <x:c r="A25" s="29" t="str">
        <x:v>豊島区</x:v>
      </x:c>
      <x:c r="B25" s="29" t="str">
        <x:v>23区</x:v>
      </x:c>
      <x:c r="C25" s="34" t="str">
        <x:v>https://www.city.toshima.lg.jp/machizukuri/kotsu/2203081526.html</x:v>
      </x:c>
      <x:c r="D25" s="29" t="str"/>
      <x:c r="E25" s="34" t="str">
        <x:v>https://www.toshiseibi1.metro.tokyo.lg.jp/bunyabetsu/kotsu_butsuryu/pdf/index_koutuu_02.xlsx</x:v>
      </x:c>
      <x:c r="F25" s="32" t="n">
        <x:v>46256</x:v>
      </x:c>
      <x:c r="G25" s="29" t="str"/>
    </x:row>
    <x:row r="26" ht="44" customHeight="1">
      <x:c r="A26" s="29" t="str">
        <x:v>足立区</x:v>
      </x:c>
      <x:c r="B26" s="29" t="str">
        <x:v>23区</x:v>
      </x:c>
      <x:c r="C26" s="34" t="str">
        <x:v>https://www.city.adachi.tokyo.jp/machi/kotsu/index.html</x:v>
      </x:c>
      <x:c r="D26" s="29" t="str">
        <x:v>足立区総合交通計画 （令和元年11月改定）</x:v>
      </x:c>
      <x:c r="E26" s="34" t="str">
        <x:v>https://www.toshiseibi1.metro.tokyo.lg.jp/bunyabetsu/kotsu_butsuryu/pdf/index_koutuu_02.xlsx</x:v>
      </x:c>
      <x:c r="F26" s="32" t="n">
        <x:v>46256</x:v>
      </x:c>
      <x:c r="G26" s="29" t="str"/>
    </x:row>
    <x:row r="27" ht="44" customHeight="1">
      <x:c r="A27" s="29" t="str">
        <x:v>あきる野市</x:v>
      </x:c>
      <x:c r="B27" s="29" t="str">
        <x:v>多摩市部</x:v>
      </x:c>
      <x:c r="C27" s="34" t="str">
        <x:v>https://www.city.akiruno.tokyo.jp/category/1-13-3-0-0-0-0-0-0-0.html</x:v>
      </x:c>
      <x:c r="D27" s="29" t="str"/>
      <x:c r="E27" s="34" t="str">
        <x:v>https://www.toshiseibi1.metro.tokyo.lg.jp/bunyabetsu/kotsu_butsuryu/pdf/index_koutuu_02.xlsx</x:v>
      </x:c>
      <x:c r="F27" s="32" t="n">
        <x:v>46256</x:v>
      </x:c>
      <x:c r="G27" s="29" t="str"/>
    </x:row>
    <x:row r="28" ht="44" customHeight="1">
      <x:c r="A28" s="29" t="str">
        <x:v>三鷹市</x:v>
      </x:c>
      <x:c r="B28" s="29" t="str">
        <x:v>多摩市部</x:v>
      </x:c>
      <x:c r="C28" s="34" t="str">
        <x:v>https://www.city.mitaka.lg.jp/c_categories/index01005001.html</x:v>
      </x:c>
      <x:c r="D28" s="29" t="str">
        <x:v>三鷹市交通総合協働計画2022（第２次改定） （令和２年３月）</x:v>
      </x:c>
      <x:c r="E28" s="34" t="str">
        <x:v>https://www.toshiseibi1.metro.tokyo.lg.jp/bunyabetsu/kotsu_butsuryu/pdf/index_koutuu_02.xlsx</x:v>
      </x:c>
      <x:c r="F28" s="32" t="n">
        <x:v>46256</x:v>
      </x:c>
      <x:c r="G28" s="29" t="str"/>
    </x:row>
    <x:row r="29" ht="44" customHeight="1">
      <x:c r="A29" s="29" t="str">
        <x:v>八王子市</x:v>
      </x:c>
      <x:c r="B29" s="29" t="str">
        <x:v>多摩市部</x:v>
      </x:c>
      <x:c r="C29" s="34" t="str">
        <x:v>https://www.city.hachioji.tokyo.jp/kurashi/life/001/002/index.html</x:v>
      </x:c>
      <x:c r="D29" s="29" t="str"/>
      <x:c r="E29" s="34" t="str">
        <x:v>https://www.toshiseibi1.metro.tokyo.lg.jp/bunyabetsu/kotsu_butsuryu/pdf/index_koutuu_02.xlsx</x:v>
      </x:c>
      <x:c r="F29" s="32" t="n">
        <x:v>46256</x:v>
      </x:c>
      <x:c r="G29" s="29" t="str"/>
    </x:row>
    <x:row r="30" ht="44" customHeight="1">
      <x:c r="A30" s="29" t="str">
        <x:v>国分寺市</x:v>
      </x:c>
      <x:c r="B30" s="29" t="str">
        <x:v>多摩市部</x:v>
      </x:c>
      <x:c r="C30" s="34" t="str">
        <x:v>https://www.city.kokubunji.tokyo.jp/kurashi/koutsuu/bus/1012086.html</x:v>
      </x:c>
      <x:c r="D30" s="29" t="str"/>
      <x:c r="E30" s="34" t="str">
        <x:v>https://www.toshiseibi1.metro.tokyo.lg.jp/bunyabetsu/kotsu_butsuryu/pdf/index_koutuu_02.xlsx</x:v>
      </x:c>
      <x:c r="F30" s="32" t="n">
        <x:v>46256</x:v>
      </x:c>
      <x:c r="G30" s="29" t="str"/>
    </x:row>
    <x:row r="31" ht="44" customHeight="1">
      <x:c r="A31" s="29" t="str">
        <x:v>国立市</x:v>
      </x:c>
      <x:c r="B31" s="29" t="str">
        <x:v>多摩市部</x:v>
      </x:c>
      <x:c r="C31" s="34" t="str">
        <x:v>https://www.city.kunitachi.tokyo.jp/kurashi/kotsu/3/index.html</x:v>
      </x:c>
      <x:c r="D31" s="29" t="str">
        <x:v>国立市地域交通計画 （平成26年３月）</x:v>
      </x:c>
      <x:c r="E31" s="34" t="str">
        <x:v>https://www.toshiseibi1.metro.tokyo.lg.jp/bunyabetsu/kotsu_butsuryu/pdf/index_koutuu_02.xlsx</x:v>
      </x:c>
      <x:c r="F31" s="32" t="n">
        <x:v>46256</x:v>
      </x:c>
      <x:c r="G31" s="29" t="str"/>
    </x:row>
    <x:row r="32" ht="44" customHeight="1">
      <x:c r="A32" s="29" t="str">
        <x:v>多摩市</x:v>
      </x:c>
      <x:c r="B32" s="29" t="str">
        <x:v>多摩市部</x:v>
      </x:c>
      <x:c r="C32" s="34" t="str">
        <x:v>https://www.city.tama.lg.jp/shisei/keikaku/kakuka/toshiseibi/1004844.html</x:v>
      </x:c>
      <x:c r="D32" s="29" t="str">
        <x:v>多摩市交通マスタープラン （2018年３月）</x:v>
      </x:c>
      <x:c r="E32" s="34" t="str">
        <x:v>https://www.toshiseibi1.metro.tokyo.lg.jp/bunyabetsu/kotsu_butsuryu/pdf/index_koutuu_02.xlsx</x:v>
      </x:c>
      <x:c r="F32" s="32" t="n">
        <x:v>46256</x:v>
      </x:c>
      <x:c r="G32" s="29" t="str"/>
    </x:row>
    <x:row r="33" ht="44" customHeight="1">
      <x:c r="A33" s="29" t="str">
        <x:v>小平市</x:v>
      </x:c>
      <x:c r="B33" s="29" t="str">
        <x:v>多摩市部</x:v>
      </x:c>
      <x:c r="C33" s="34" t="str">
        <x:v>https://www.city.kodaira.tokyo.jp/kurashi/026/026920.html</x:v>
      </x:c>
      <x:c r="D33" s="29" t="str">
        <x:v>小平市の地域公共交通基本方針 （令和６年３月策定予定）</x:v>
      </x:c>
      <x:c r="E33" s="34" t="str">
        <x:v>https://www.toshiseibi1.metro.tokyo.lg.jp/bunyabetsu/kotsu_butsuryu/pdf/index_koutuu_02.xlsx</x:v>
      </x:c>
      <x:c r="F33" s="32" t="n">
        <x:v>46256</x:v>
      </x:c>
      <x:c r="G33" s="29" t="str"/>
    </x:row>
    <x:row r="34" ht="44" customHeight="1">
      <x:c r="A34" s="29" t="str">
        <x:v>小金井市</x:v>
      </x:c>
      <x:c r="B34" s="29" t="str">
        <x:v>多摩市部</x:v>
      </x:c>
      <x:c r="C34" s="34" t="str">
        <x:v>https://www.city.koganei.lg.jp/kurashi/482/buss/cocobus.html</x:v>
      </x:c>
      <x:c r="D34" s="29" t="str">
        <x:v>地域公共交通計画策定中 （令和７年3月予定）</x:v>
      </x:c>
      <x:c r="E34" s="34" t="str">
        <x:v>https://www.toshiseibi1.metro.tokyo.lg.jp/bunyabetsu/kotsu_butsuryu/pdf/index_koutuu_02.xlsx</x:v>
      </x:c>
      <x:c r="F34" s="32" t="n">
        <x:v>46256</x:v>
      </x:c>
      <x:c r="G34" s="29" t="str"/>
    </x:row>
    <x:row r="35" ht="44" customHeight="1">
      <x:c r="A35" s="29" t="str">
        <x:v>府中市</x:v>
      </x:c>
      <x:c r="B35" s="29" t="str">
        <x:v>多摩市部</x:v>
      </x:c>
      <x:c r="C35" s="34" t="str">
        <x:v>https://www.city.fuchu.tokyo.jp/kurashi/machi/tiikikoukyoukoutu/index.html</x:v>
      </x:c>
      <x:c r="D35" s="29" t="str">
        <x:v>府中市地域公共交通計画 （令和５年7月策定）</x:v>
      </x:c>
      <x:c r="E35" s="34" t="str">
        <x:v>https://www.toshiseibi1.metro.tokyo.lg.jp/bunyabetsu/kotsu_butsuryu/pdf/index_koutuu_02.xlsx</x:v>
      </x:c>
      <x:c r="F35" s="32" t="n">
        <x:v>46256</x:v>
      </x:c>
      <x:c r="G35" s="29" t="str"/>
    </x:row>
    <x:row r="36" ht="44" customHeight="1">
      <x:c r="A36" s="29" t="str">
        <x:v>日野市</x:v>
      </x:c>
      <x:c r="B36" s="29" t="str">
        <x:v>多摩市部</x:v>
      </x:c>
      <x:c r="C36" s="34" t="str">
        <x:v>https://www.city.hino.lg.jp/shisei/machidukuri/kotsu/kaigi/1011755.html</x:v>
      </x:c>
      <x:c r="D36" s="29" t="str">
        <x:v>日野市地域公共交通総合連携計画2019-2028</x:v>
      </x:c>
      <x:c r="E36" s="34" t="str">
        <x:v>https://www.toshiseibi1.metro.tokyo.lg.jp/bunyabetsu/kotsu_butsuryu/pdf/index_koutuu_02.xlsx</x:v>
      </x:c>
      <x:c r="F36" s="32" t="n">
        <x:v>46256</x:v>
      </x:c>
      <x:c r="G36" s="29" t="str"/>
    </x:row>
    <x:row r="37" ht="44" customHeight="1">
      <x:c r="A37" s="29" t="str">
        <x:v>昭島市</x:v>
      </x:c>
      <x:c r="B37" s="29" t="str">
        <x:v>多摩市部</x:v>
      </x:c>
      <x:c r="C37" s="34" t="str">
        <x:v>https://www.city.akishima.lg.jp/s080/060/010/121/20140821141206.html</x:v>
      </x:c>
      <x:c r="D37" s="29" t="str"/>
      <x:c r="E37" s="34" t="str">
        <x:v>https://www.toshiseibi1.metro.tokyo.lg.jp/bunyabetsu/kotsu_butsuryu/pdf/index_koutuu_02.xlsx</x:v>
      </x:c>
      <x:c r="F37" s="32" t="n">
        <x:v>46256</x:v>
      </x:c>
      <x:c r="G37" s="29" t="str"/>
    </x:row>
    <x:row r="38" ht="44" customHeight="1">
      <x:c r="A38" s="29" t="str">
        <x:v>東久留米市</x:v>
      </x:c>
      <x:c r="B38" s="29" t="str">
        <x:v>多摩市部</x:v>
      </x:c>
      <x:c r="C38" s="34" t="str">
        <x:v>https://www.city.higashikurume.lg.jp/kurashi/kurashi/1014874/index.html</x:v>
      </x:c>
      <x:c r="D38" s="29" t="str">
        <x:v>東久留米市デマンド型交通運行計画（実験運行） （令和元年８月）</x:v>
      </x:c>
      <x:c r="E38" s="34" t="str">
        <x:v>https://www.toshiseibi1.metro.tokyo.lg.jp/bunyabetsu/kotsu_butsuryu/pdf/index_koutuu_02.xlsx</x:v>
      </x:c>
      <x:c r="F38" s="32" t="n">
        <x:v>46256</x:v>
      </x:c>
      <x:c r="G38" s="29" t="str"/>
    </x:row>
    <x:row r="39" ht="44" customHeight="1">
      <x:c r="A39" s="29" t="str">
        <x:v>東大和市</x:v>
      </x:c>
      <x:c r="B39" s="29" t="str">
        <x:v>多摩市部</x:v>
      </x:c>
      <x:c r="C39" s="34" t="str">
        <x:v>https://www.city.higashiyamato.lg.jp/kurashi/dorokotsu/1002085/index.html</x:v>
      </x:c>
      <x:c r="D39" s="29" t="str">
        <x:v>東大和市コミュニティバス等運行ガイドライン （平成28年３月）</x:v>
      </x:c>
      <x:c r="E39" s="34" t="str">
        <x:v>https://www.toshiseibi1.metro.tokyo.lg.jp/bunyabetsu/kotsu_butsuryu/pdf/index_koutuu_02.xlsx</x:v>
      </x:c>
      <x:c r="F39" s="32" t="n">
        <x:v>46256</x:v>
      </x:c>
      <x:c r="G39" s="29" t="str"/>
    </x:row>
    <x:row r="40" ht="44" customHeight="1">
      <x:c r="A40" s="29" t="str">
        <x:v>東村山市</x:v>
      </x:c>
      <x:c r="B40" s="29" t="str">
        <x:v>多摩市部</x:v>
      </x:c>
      <x:c r="C40" s="34" t="str">
        <x:v>https://www.city.higashimurayama.tokyo.jp/kurashi/sumai/bus/index.html</x:v>
      </x:c>
      <x:c r="D40" s="29" t="str"/>
      <x:c r="E40" s="34" t="str">
        <x:v>https://www.toshiseibi1.metro.tokyo.lg.jp/bunyabetsu/kotsu_butsuryu/pdf/index_koutuu_02.xlsx</x:v>
      </x:c>
      <x:c r="F40" s="32" t="n">
        <x:v>46256</x:v>
      </x:c>
      <x:c r="G40" s="29" t="str"/>
    </x:row>
    <x:row r="41" ht="44" customHeight="1">
      <x:c r="A41" s="29" t="str">
        <x:v>武蔵村山市</x:v>
      </x:c>
      <x:c r="B41" s="29" t="str">
        <x:v>多摩市部</x:v>
      </x:c>
      <x:c r="C41" s="34" t="str">
        <x:v>https://www.city.musashimurayama.lg.jp/kurashi/koutsu/koukyoukoutu/index.html</x:v>
      </x:c>
      <x:c r="D41" s="29" t="str"/>
      <x:c r="E41" s="34" t="str">
        <x:v>https://www.toshiseibi1.metro.tokyo.lg.jp/bunyabetsu/kotsu_butsuryu/pdf/index_koutuu_02.xlsx</x:v>
      </x:c>
      <x:c r="F41" s="32" t="n">
        <x:v>46256</x:v>
      </x:c>
      <x:c r="G41" s="29" t="str"/>
    </x:row>
    <x:row r="42" ht="44" customHeight="1">
      <x:c r="A42" s="29" t="str">
        <x:v>武蔵野市</x:v>
      </x:c>
      <x:c r="B42" s="29" t="str">
        <x:v>多摩市部</x:v>
      </x:c>
      <x:c r="C42" s="34" t="str">
        <x:v>https://www.city.musashino.lg.jp/kurashi_tetsuzuki/bus_churin_chusha_kotsuanzen/mubus/index.html</x:v>
      </x:c>
      <x:c r="D42" s="29" t="str">
        <x:v>武蔵野市地域公共交通網形成計画 （令和２年３月）</x:v>
      </x:c>
      <x:c r="E42" s="34" t="str">
        <x:v>https://www.toshiseibi1.metro.tokyo.lg.jp/bunyabetsu/kotsu_butsuryu/pdf/index_koutuu_02.xlsx</x:v>
      </x:c>
      <x:c r="F42" s="32" t="n">
        <x:v>46256</x:v>
      </x:c>
      <x:c r="G42" s="29" t="str"/>
    </x:row>
    <x:row r="43" ht="44" customHeight="1">
      <x:c r="A43" s="29" t="str">
        <x:v>清瀬市</x:v>
      </x:c>
      <x:c r="B43" s="29" t="str">
        <x:v>多摩市部</x:v>
      </x:c>
      <x:c r="C43" s="34" t="str">
        <x:v>https://www.city.kiyose.lg.jp/kurashi/sumaidourokoutuu/communitybus/1003943.html</x:v>
      </x:c>
      <x:c r="D43" s="29" t="str"/>
      <x:c r="E43" s="34" t="str">
        <x:v>https://www.toshiseibi1.metro.tokyo.lg.jp/bunyabetsu/kotsu_butsuryu/pdf/index_koutuu_02.xlsx</x:v>
      </x:c>
      <x:c r="F43" s="32" t="n">
        <x:v>46256</x:v>
      </x:c>
      <x:c r="G43" s="29" t="str"/>
    </x:row>
    <x:row r="44" ht="44" customHeight="1">
      <x:c r="A44" s="29" t="str">
        <x:v>狛江市</x:v>
      </x:c>
      <x:c r="B44" s="29" t="str">
        <x:v>多摩市部</x:v>
      </x:c>
      <x:c r="C44" s="34" t="str">
        <x:v>https://www.city.komae.tokyo.jp/index.cfm/46,0,358,2127,html</x:v>
      </x:c>
      <x:c r="D44" s="29" t="str">
        <x:v>狛江市都市計画マスタープラン・立地適正化計画 （令和４年12月）</x:v>
      </x:c>
      <x:c r="E44" s="34" t="str">
        <x:v>https://www.toshiseibi1.metro.tokyo.lg.jp/bunyabetsu/kotsu_butsuryu/pdf/index_koutuu_02.xlsx</x:v>
      </x:c>
      <x:c r="F44" s="32" t="n">
        <x:v>46256</x:v>
      </x:c>
      <x:c r="G44" s="29" t="str"/>
    </x:row>
    <x:row r="45" ht="44" customHeight="1">
      <x:c r="A45" s="29" t="str">
        <x:v>町田市</x:v>
      </x:c>
      <x:c r="B45" s="29" t="str">
        <x:v>多摩市部</x:v>
      </x:c>
      <x:c r="C45" s="34" t="str">
        <x:v>https://www.city.machida.tokyo.jp/kurashi/sumai/kotsu/index.html</x:v>
      </x:c>
      <x:c r="D45" s="29" t="str">
        <x:v>町田市都市づくりのマスタープラン 方針編（交通） （2022年３月）</x:v>
      </x:c>
      <x:c r="E45" s="34" t="str">
        <x:v>https://www.toshiseibi1.metro.tokyo.lg.jp/bunyabetsu/kotsu_butsuryu/pdf/index_koutuu_02.xlsx</x:v>
      </x:c>
      <x:c r="F45" s="32" t="n">
        <x:v>46256</x:v>
      </x:c>
      <x:c r="G45" s="29" t="str"/>
    </x:row>
    <x:row r="46" ht="44" customHeight="1">
      <x:c r="A46" s="29" t="str">
        <x:v>稲城市</x:v>
      </x:c>
      <x:c r="B46" s="29" t="str">
        <x:v>多摩市部</x:v>
      </x:c>
      <x:c r="C46" s="34" t="str">
        <x:v>https://www.city.inagi.tokyo.jp/kurashi/bus/index.html</x:v>
      </x:c>
      <x:c r="D46" s="29" t="str">
        <x:v>稲城市の公共交通のあり方に関する提言書 （平成25年10月）</x:v>
      </x:c>
      <x:c r="E46" s="34" t="str">
        <x:v>https://www.toshiseibi1.metro.tokyo.lg.jp/bunyabetsu/kotsu_butsuryu/pdf/index_koutuu_02.xlsx</x:v>
      </x:c>
      <x:c r="F46" s="32" t="n">
        <x:v>46256</x:v>
      </x:c>
      <x:c r="G46" s="29" t="str"/>
    </x:row>
    <x:row r="47" ht="44" customHeight="1">
      <x:c r="A47" s="29" t="str">
        <x:v>立川市</x:v>
      </x:c>
      <x:c r="B47" s="29" t="str">
        <x:v>多摩市部</x:v>
      </x:c>
      <x:c r="C47" s="34" t="str">
        <x:v>https://www.city.tachikawa.lg.jp/kotsutaisaku/kururinnsaihenn.html</x:v>
      </x:c>
      <x:c r="D47" s="29" t="str"/>
      <x:c r="E47" s="34" t="str">
        <x:v>https://www.toshiseibi1.metro.tokyo.lg.jp/bunyabetsu/kotsu_butsuryu/pdf/index_koutuu_02.xlsx</x:v>
      </x:c>
      <x:c r="F47" s="32" t="n">
        <x:v>46256</x:v>
      </x:c>
      <x:c r="G47" s="29" t="str"/>
    </x:row>
    <x:row r="48" ht="44" customHeight="1">
      <x:c r="A48" s="29" t="str">
        <x:v>羽村市</x:v>
      </x:c>
      <x:c r="B48" s="29" t="str">
        <x:v>多摩市部</x:v>
      </x:c>
      <x:c r="C48" s="34" t="str">
        <x:v>https://www.city.hamura.tokyo.jp/category/1-11-15-0-0-0-0-0-0-0.html</x:v>
      </x:c>
      <x:c r="D48" s="29" t="str"/>
      <x:c r="E48" s="34" t="str">
        <x:v>https://www.toshiseibi1.metro.tokyo.lg.jp/bunyabetsu/kotsu_butsuryu/pdf/index_koutuu_02.xlsx</x:v>
      </x:c>
      <x:c r="F48" s="32" t="n">
        <x:v>46256</x:v>
      </x:c>
      <x:c r="G48" s="29" t="str"/>
    </x:row>
    <x:row r="49" ht="44" customHeight="1">
      <x:c r="A49" s="29" t="str">
        <x:v>西東京市</x:v>
      </x:c>
      <x:c r="B49" s="29" t="str">
        <x:v>多摩市部</x:v>
      </x:c>
      <x:c r="C49" s="34" t="str">
        <x:v>https://www.city.nishitokyo.lg.jp/siseizyoho/sesaku_keikaku/shingikaikaigiroku/toshiseibi/chiikikokyo/index.html</x:v>
      </x:c>
      <x:c r="D49" s="29" t="str">
        <x:v>西東京市交通計画 （平成26年３月） ※法定計画は令和６年３月策定予定</x:v>
      </x:c>
      <x:c r="E49" s="34" t="str">
        <x:v>https://www.toshiseibi1.metro.tokyo.lg.jp/bunyabetsu/kotsu_butsuryu/pdf/index_koutuu_02.xlsx</x:v>
      </x:c>
      <x:c r="F49" s="32" t="n">
        <x:v>46256</x:v>
      </x:c>
      <x:c r="G49" s="29" t="str"/>
    </x:row>
    <x:row r="50" ht="44" customHeight="1">
      <x:c r="A50" s="29" t="str">
        <x:v>調布市</x:v>
      </x:c>
      <x:c r="B50" s="29" t="str">
        <x:v>多摩市部</x:v>
      </x:c>
      <x:c r="C50" s="34" t="str">
        <x:v>https://www.city.chofu.lg.jp/080070/p050067.html</x:v>
      </x:c>
      <x:c r="D50" s="29" t="str">
        <x:v>調布市総合交通計画 （平成23年４月策定） (令和５年３月改定)</x:v>
      </x:c>
      <x:c r="E50" s="34" t="str">
        <x:v>https://www.toshiseibi1.metro.tokyo.lg.jp/bunyabetsu/kotsu_butsuryu/pdf/index_koutuu_02.xlsx</x:v>
      </x:c>
      <x:c r="F50" s="32" t="n">
        <x:v>46256</x:v>
      </x:c>
      <x:c r="G50" s="29" t="str"/>
    </x:row>
    <x:row r="51" ht="44" customHeight="1">
      <x:c r="A51" s="29" t="str">
        <x:v>青梅市</x:v>
      </x:c>
      <x:c r="B51" s="29" t="str">
        <x:v>多摩市部</x:v>
      </x:c>
      <x:c r="C51" s="34" t="str">
        <x:v>https://www.city.ome.tokyo.jp/soshiki/75/66679.html</x:v>
      </x:c>
      <x:c r="D51" s="29" t="str">
        <x:v>青梅市地域公共交通計画 （令和５年３月）</x:v>
      </x:c>
      <x:c r="E51" s="34" t="str">
        <x:v>https://www.toshiseibi1.metro.tokyo.lg.jp/bunyabetsu/kotsu_butsuryu/pdf/index_koutuu_02.xlsx</x:v>
      </x:c>
      <x:c r="F51" s="32" t="n">
        <x:v>46256</x:v>
      </x:c>
      <x:c r="G51" s="29" t="str"/>
    </x:row>
    <x:row r="52" ht="44" customHeight="1">
      <x:c r="A52" s="29" t="str">
        <x:v>日の出町</x:v>
      </x:c>
      <x:c r="B52" s="29" t="str">
        <x:v>多摩町村</x:v>
      </x:c>
      <x:c r="C52" s="34" t="str">
        <x:v>https://www.town.hinode.tokyo.jp/category/1-3-6-0-0.html</x:v>
      </x:c>
      <x:c r="D52" s="29" t="str">
        <x:v>日の出町地域公共交通計画 （平成30年２月） 日の出町地域公共交通計画実施計画 （令和２年３月）</x:v>
      </x:c>
      <x:c r="E52" s="34" t="str">
        <x:v>https://www.toshiseibi1.metro.tokyo.lg.jp/bunyabetsu/kotsu_butsuryu/pdf/index_koutuu_02.xlsx</x:v>
      </x:c>
      <x:c r="F52" s="32" t="n">
        <x:v>46256</x:v>
      </x:c>
      <x:c r="G52" s="29" t="str"/>
    </x:row>
    <x:row r="53" ht="44" customHeight="1">
      <x:c r="A53" s="29" t="str">
        <x:v>檜原村</x:v>
      </x:c>
      <x:c r="B53" s="29" t="str">
        <x:v>多摩町村</x:v>
      </x:c>
      <x:c r="C53" s="34" t="str">
        <x:v>https://www.vill.hinohara.tokyo.jp/category/1-5-4-0-0.html</x:v>
      </x:c>
      <x:c r="D53" s="29" t="str">
        <x:v>檜原村地域公共交通総合連携計画 （平成21年３月）</x:v>
      </x:c>
      <x:c r="E53" s="34" t="str">
        <x:v>https://www.toshiseibi1.metro.tokyo.lg.jp/bunyabetsu/kotsu_butsuryu/pdf/index_koutuu_02.xlsx</x:v>
      </x:c>
      <x:c r="F53" s="32" t="n">
        <x:v>46256</x:v>
      </x:c>
      <x:c r="G53" s="29" t="str"/>
    </x:row>
    <x:row r="54" ht="44" customHeight="1">
      <x:c r="A54" s="29" t="str">
        <x:v>瑞穂町</x:v>
      </x:c>
      <x:c r="B54" s="29" t="str">
        <x:v>多摩町村</x:v>
      </x:c>
      <x:c r="C54" s="34" t="str">
        <x:v>https://www.town.mizuho.tokyo.jp/kankyo/004/index.html</x:v>
      </x:c>
      <x:c r="D54" s="29" t="str"/>
      <x:c r="E54" s="34" t="str">
        <x:v>https://www.toshiseibi1.metro.tokyo.lg.jp/bunyabetsu/kotsu_butsuryu/pdf/index_koutuu_02.xlsx</x:v>
      </x:c>
      <x:c r="F54" s="32" t="n">
        <x:v>46256</x:v>
      </x:c>
      <x:c r="G54" s="29" t="str"/>
    </x:row>
    <x:row r="55" ht="44" customHeight="1">
      <x:c r="A55" s="29" t="str">
        <x:v>大島町</x:v>
      </x:c>
      <x:c r="B55" s="29" t="str">
        <x:v>島しょ</x:v>
      </x:c>
      <x:c r="C55" s="34" t="str">
        <x:v>https://www.town.oshima.tokyo.jp/soshiki/seisaku/ooshimamatitiikikoukyoukoutuu.html</x:v>
      </x:c>
      <x:c r="D55" s="29" t="str">
        <x:v>大島町地域公共交通計画 （令和６年度策定予定）</x:v>
      </x:c>
      <x:c r="E55" s="34" t="str">
        <x:v>https://www.toshiseibi1.metro.tokyo.lg.jp/bunyabetsu/kotsu_butsuryu/pdf/index_koutuu_02.xlsx</x:v>
      </x:c>
      <x:c r="F55" s="32" t="n">
        <x:v>46256</x:v>
      </x:c>
      <x:c r="G55" s="29" t="str"/>
    </x:row>
    <x:row r="56" ht="44" customHeight="1">
      <x:c r="A56" s="29" t="str">
        <x:v>小笠原村</x:v>
      </x:c>
      <x:c r="B56" s="29" t="str">
        <x:v>島しょ</x:v>
      </x:c>
      <x:c r="C56" s="34" t="str">
        <x:v>https://www.vill.ogasawara.tokyo.jp/bus/</x:v>
      </x:c>
      <x:c r="D56" s="29" t="str"/>
      <x:c r="E56" s="34" t="str">
        <x:v>https://www.toshiseibi1.metro.tokyo.lg.jp/bunyabetsu/kotsu_butsuryu/pdf/index_koutuu_02.xlsx</x:v>
      </x:c>
      <x:c r="F56" s="32" t="n">
        <x:v>46256</x:v>
      </x:c>
      <x:c r="G56" s="29" t="str"/>
    </x:row>
    <x:row r="57" ht="44" customHeight="1">
      <x:c r="A57" s="29" t="str">
        <x:v>神津島村</x:v>
      </x:c>
      <x:c r="B57" s="29" t="str">
        <x:v>島しょ</x:v>
      </x:c>
      <x:c r="C57" s="34" t="str">
        <x:v>https://www.vill.kouzushima.tokyo.jp/transport/</x:v>
      </x:c>
      <x:c r="D57" s="29" t="str">
        <x:v>神津島村地域公共交通会議 （令和５年９月）</x:v>
      </x:c>
      <x:c r="E57" s="34" t="str">
        <x:v>https://www.toshiseibi1.metro.tokyo.lg.jp/bunyabetsu/kotsu_butsuryu/pdf/index_koutuu_02.xlsx</x:v>
      </x:c>
      <x:c r="F57" s="32" t="n">
        <x:v>46256</x:v>
      </x:c>
      <x:c r="G57" s="29" t="str"/>
    </x:row>
  </x:sheetData>
  <x:mergeCells>
    <x:mergeCell ref="A1:G1"/>
    <x:mergeCell ref="A2:G2"/>
  </x:mergeCells>
  <x:pageMargins left="0.7" right="0.7" top="0.75" bottom="0.75" header="0.3" footer="0.3"/>
  <x:tableParts count="1">
    <x:tablePart xmlns:r="http://schemas.openxmlformats.org/officeDocument/2006/relationships" r:id="Rcec41d4cabc54a0b"/>
  </x:tableParts>
</x:worksheet>
</file>

<file path=xl/worksheets/sheet8.xml><?xml version="1.0" encoding="utf-8"?>
<x:worksheet xmlns:x="http://schemas.openxmlformats.org/spreadsheetml/2006/main">
  <x:sheetFormatPr defaultRowHeight="15"/>
  <x:cols>
    <x:col min="1" max="1" width="13" hidden="0" customWidth="1"/>
    <x:col min="2" max="2" width="24" hidden="0" customWidth="1"/>
    <x:col min="3" max="3" width="54" hidden="0" customWidth="1"/>
    <x:col min="4" max="4" width="26" hidden="0" customWidth="1"/>
    <x:col min="5" max="5" width="30" hidden="0" customWidth="1"/>
    <x:col min="6" max="6" width="24" hidden="0" customWidth="1"/>
    <x:col min="7" max="7" width="16" hidden="0" customWidth="1"/>
    <x:col min="8" max="8" width="42" hidden="0" customWidth="1"/>
    <x:col min="9" max="9" width="42" hidden="0" customWidth="1"/>
  </x:cols>
  <x:sheetData>
    <x:row r="1" ht="30" customHeight="1">
      <x:c r="A1" s="5" t="str">
        <x:v>現在地マップアプリ 実装設計</x:v>
      </x:c>
      <x:c r="B1" s="5"/>
      <x:c r="C1" s="5"/>
      <x:c r="D1" s="5"/>
      <x:c r="E1" s="5"/>
      <x:c r="F1" s="5"/>
      <x:c r="G1" s="5"/>
      <x:c r="H1" s="5"/>
      <x:c r="I1" s="5"/>
    </x:row>
    <x:row r="2" ht="22" customHeight="1">
      <x:c r="A2" s="13" t="str">
        <x:v>静的GTFSで近傍停留所・路線を先に完成し、公開GTFS-RTだけをライブ車両レイヤーへ追加</x:v>
      </x:c>
      <x:c r="B2" s="13"/>
      <x:c r="C2" s="13"/>
      <x:c r="D2" s="13"/>
      <x:c r="E2" s="13"/>
      <x:c r="F2" s="13"/>
      <x:c r="G2" s="13"/>
      <x:c r="H2" s="13"/>
      <x:c r="I2" s="13"/>
    </x:row>
    <x:row r="3" ht="36" customHeight="1">
      <x:c r="A3" s="36" t="str">
        <x:v>工程</x:v>
      </x:c>
      <x:c r="B3" s="36" t="str">
        <x:v>コンポーネント</x:v>
      </x:c>
      <x:c r="C3" s="36" t="str">
        <x:v>具体作業</x:v>
      </x:c>
      <x:c r="D3" s="36" t="str">
        <x:v>入力</x:v>
      </x:c>
      <x:c r="E3" s="36" t="str">
        <x:v>出力/テーブル</x:v>
      </x:c>
      <x:c r="F3" s="36" t="str">
        <x:v>技術候補</x:v>
      </x:c>
      <x:c r="G3" s="36" t="str">
        <x:v>更新頻度</x:v>
      </x:c>
      <x:c r="H3" s="36" t="str">
        <x:v>障害時の扱い</x:v>
      </x:c>
      <x:c r="I3" s="36" t="str">
        <x:v>完了条件</x:v>
      </x:c>
    </x:row>
    <x:row r="4" ht="66" customHeight="1">
      <x:c r="A4" s="29" t="str">
        <x:v>0. スコープ</x:v>
      </x:c>
      <x:c r="B4" s="29" t="str">
        <x:v>サービス台帳</x:v>
      </x:c>
      <x:c r="C4" s="29" t="str">
        <x:v>service_idを自治体サービス単位で採番し、対象／要確認／除外／終了を保持する。</x:v>
      </x:c>
      <x:c r="D4" s="29" t="str">
        <x:v>東京都2023基準＋現行差分</x:v>
      </x:c>
      <x:c r="E4" s="29" t="str">
        <x:v>services</x:v>
      </x:c>
      <x:c r="F4" s="29" t="str">
        <x:v>PostgreSQL</x:v>
      </x:c>
      <x:c r="G4" s="29" t="str">
        <x:v>更新時</x:v>
      </x:c>
      <x:c r="H4" s="29" t="str">
        <x:v>原典値をraw列へ保持</x:v>
      </x:c>
      <x:c r="I4" s="29" t="str">
        <x:v>全サービスに出典URL・確認日・対象判定がある</x:v>
      </x:c>
    </x:row>
    <x:row r="5" ht="66" customHeight="1">
      <x:c r="A5" s="29" t="str">
        <x:v>1. 取得</x:v>
      </x:c>
      <x:c r="B5" s="29" t="str">
        <x:v>フィードレジストリ</x:v>
      </x:c>
      <x:c r="C5" s="29" t="str">
        <x:v>静的GTFS、GTFS-RT、アクセス方式、ライセンス、有効期間、ETag、最終成功時刻を管理する。</x:v>
      </x:c>
      <x:c r="D5" s="29" t="str">
        <x:v>GTFSカタログ</x:v>
      </x:c>
      <x:c r="E5" s="29" t="str">
        <x:v>feed_registry</x:v>
      </x:c>
      <x:c r="F5" s="29" t="str">
        <x:v>PostgreSQL</x:v>
      </x:c>
      <x:c r="G5" s="29" t="str">
        <x:v>日次</x:v>
      </x:c>
      <x:c r="H5" s="29" t="str">
        <x:v>期限切れ・404・認証失敗を状態化</x:v>
      </x:c>
      <x:c r="I5" s="29" t="str">
        <x:v>各フィードの取得方法と利用条件が一意に分かる</x:v>
      </x:c>
    </x:row>
    <x:row r="6" ht="66" customHeight="1">
      <x:c r="A6" s="29" t="str">
        <x:v>1. 取得</x:v>
      </x:c>
      <x:c r="B6" s="29" t="str">
        <x:v>静的GTFSダウンローダー</x:v>
      </x:c>
      <x:c r="C6" s="29" t="str">
        <x:v>サーバー側からZIPを取得し、HTTP状態、ETag、Last-Modified、SHA-256、取得日時を保存する。</x:v>
      </x:c>
      <x:c r="D6" s="29" t="str">
        <x:v>static_url</x:v>
      </x:c>
      <x:c r="E6" s="29" t="str">
        <x:v>raw_gtfs/{feed_id}/{hash}.zip</x:v>
      </x:c>
      <x:c r="F6" s="29" t="str">
        <x:v>バッチ/オブジェクトストレージ</x:v>
      </x:c>
      <x:c r="G6" s="29" t="str">
        <x:v>毎日1回＋手動</x:v>
      </x:c>
      <x:c r="H6" s="29" t="str">
        <x:v>前回成功版を保持してロールバック</x:v>
      </x:c>
      <x:c r="I6" s="29" t="str">
        <x:v>同一ハッシュは再取込せず、変更時だけ処理する</x:v>
      </x:c>
    </x:row>
    <x:row r="7" ht="66" customHeight="1">
      <x:c r="A7" s="29" t="str">
        <x:v>1. 取得</x:v>
      </x:c>
      <x:c r="B7" s="29" t="str">
        <x:v>認証情報管理</x:v>
      </x:c>
      <x:c r="C7" s="29" t="str">
        <x:v>ODPT consumerKey等はSecret Managerに保存し、ブラウザやアプリへ配布しない。</x:v>
      </x:c>
      <x:c r="D7" s="29" t="str">
        <x:v>認証付きURL</x:v>
      </x:c>
      <x:c r="E7" s="29" t="str">
        <x:v>署名済みサーバーリクエスト</x:v>
      </x:c>
      <x:c r="F7" s="29" t="str">
        <x:v>Secret Manager</x:v>
      </x:c>
      <x:c r="G7" s="29" t="str">
        <x:v>随時</x:v>
      </x:c>
      <x:c r="H7" s="29" t="str">
        <x:v>キー失効時は公開フィードのみ継続</x:v>
      </x:c>
      <x:c r="I7" s="29" t="str">
        <x:v>クライアントのネットワークログにキーが露出しない</x:v>
      </x:c>
    </x:row>
    <x:row r="8" ht="66" customHeight="1">
      <x:c r="A8" s="29" t="str">
        <x:v>2. 検証</x:v>
      </x:c>
      <x:c r="B8" s="29" t="str">
        <x:v>ZIP・必須ファイル検査</x:v>
      </x:c>
      <x:c r="C8" s="29" t="str">
        <x:v>agency/routes/trips/stops/stop_times/calendar系の存在、CSV文字コード、参照整合性を検査する。</x:v>
      </x:c>
      <x:c r="D8" s="29" t="str">
        <x:v>GTFS ZIP</x:v>
      </x:c>
      <x:c r="E8" s="29" t="str">
        <x:v>validation_report</x:v>
      </x:c>
      <x:c r="F8" s="29" t="str">
        <x:v>gtfs-validator＋独自検査</x:v>
      </x:c>
      <x:c r="G8" s="29" t="str">
        <x:v>取込ごと</x:v>
      </x:c>
      <x:c r="H8" s="29" t="str">
        <x:v>不正フィードは本番テーブルへ昇格しない</x:v>
      </x:c>
      <x:c r="I8" s="29" t="str">
        <x:v>エラー件数、警告、欠落ファイルを確認できる</x:v>
      </x:c>
    </x:row>
    <x:row r="9" ht="66" customHeight="1">
      <x:c r="A9" s="29" t="str">
        <x:v>2. 検証</x:v>
      </x:c>
      <x:c r="B9" s="29" t="str">
        <x:v>有効期間検査</x:v>
      </x:c>
      <x:c r="C9" s="29" t="str">
        <x:v>feed_info、calendar、calendar_datesから調査日以降に有効なservice_idがあるか確認する。</x:v>
      </x:c>
      <x:c r="D9" s="29" t="str">
        <x:v>calendar*.txt</x:v>
      </x:c>
      <x:c r="E9" s="29" t="str">
        <x:v>feed_validity</x:v>
      </x:c>
      <x:c r="F9" s="29" t="str">
        <x:v>SQL</x:v>
      </x:c>
      <x:c r="G9" s="29" t="str">
        <x:v>取込ごと</x:v>
      </x:c>
      <x:c r="H9" s="29" t="str">
        <x:v>期限切れは地図提供停止、台帳には残す</x:v>
      </x:c>
      <x:c r="I9" s="29" t="str">
        <x:v>過去ダイヤを現行として返さない</x:v>
      </x:c>
    </x:row>
    <x:row r="10" ht="66" customHeight="1">
      <x:c r="A10" s="29" t="str">
        <x:v>2. 検証</x:v>
      </x:c>
      <x:c r="B10" s="29" t="str">
        <x:v>自治体路線ホワイトリスト</x:v>
      </x:c>
      <x:c r="C10" s="29" t="str">
        <x:v>事業者包括GTFSはroute_idを自治体サービスへ明示的に割り当てる。</x:v>
      </x:c>
      <x:c r="D10" s="29" t="str">
        <x:v>routes.txt/agency.txt</x:v>
      </x:c>
      <x:c r="E10" s="29" t="str">
        <x:v>service_route_map</x:v>
      </x:c>
      <x:c r="F10" s="29" t="str">
        <x:v>管理画面＋SQL</x:v>
      </x:c>
      <x:c r="G10" s="29" t="str">
        <x:v>ダイヤ更新ごと</x:v>
      </x:c>
      <x:c r="H10" s="29" t="str">
        <x:v>未知route_idは自動公開しない</x:v>
      </x:c>
      <x:c r="I10" s="29" t="str">
        <x:v>通常路線の誤混入がない</x:v>
      </x:c>
    </x:row>
    <x:row r="11" ht="66" customHeight="1">
      <x:c r="A11" s="29" t="str">
        <x:v>3. 正規化</x:v>
      </x:c>
      <x:c r="B11" s="29" t="str">
        <x:v>ID名前空間</x:v>
      </x:c>
      <x:c r="C11" s="29" t="str">
        <x:v>全IDをfeed_id:source_id形式へ変換し、事業者間のID衝突を防ぐ。</x:v>
      </x:c>
      <x:c r="D11" s="29" t="str">
        <x:v>GTFS各ID</x:v>
      </x:c>
      <x:c r="E11" s="29" t="str">
        <x:v>normalized_gtfs</x:v>
      </x:c>
      <x:c r="F11" s="29" t="str">
        <x:v>ETL</x:v>
      </x:c>
      <x:c r="G11" s="29" t="str">
        <x:v>取込ごと</x:v>
      </x:c>
      <x:c r="H11" s="29" t="str">
        <x:v>元IDと正規IDの対応表を保持</x:v>
      </x:c>
      <x:c r="I11" s="29" t="str">
        <x:v>同名stop_id/trip_idが衝突しない</x:v>
      </x:c>
    </x:row>
    <x:row r="12" ht="66" customHeight="1">
      <x:c r="A12" s="29" t="str">
        <x:v>3. 正規化</x:v>
      </x:c>
      <x:c r="B12" s="29" t="str">
        <x:v>空間データ化</x:v>
      </x:c>
      <x:c r="C12" s="29" t="str">
        <x:v>stopsをgeometry(Point,4326)、shapesをLineStringへ変換し、GiST索引を作成する。</x:v>
      </x:c>
      <x:c r="D12" s="29" t="str">
        <x:v>stops.txt/shapes.txt</x:v>
      </x:c>
      <x:c r="E12" s="29" t="str">
        <x:v>stops/routes_geom</x:v>
      </x:c>
      <x:c r="F12" s="29" t="str">
        <x:v>PostGIS</x:v>
      </x:c>
      <x:c r="G12" s="29" t="str">
        <x:v>取込ごと</x:v>
      </x:c>
      <x:c r="H12" s="29" t="str">
        <x:v>shape欠落時はstop_sequenceから暫定線を生成し明示</x:v>
      </x:c>
      <x:c r="I12" s="29" t="str">
        <x:v>近傍検索と地図描画が空間索引を使う</x:v>
      </x:c>
    </x:row>
    <x:row r="13" ht="66" customHeight="1">
      <x:c r="A13" s="29" t="str">
        <x:v>3. 正規化</x:v>
      </x:c>
      <x:c r="B13" s="29" t="str">
        <x:v>運行日展開</x:v>
      </x:c>
      <x:c r="C13" s="29" t="str">
        <x:v>calendarとcalendar_datesを90日先まで日付単位に展開する。</x:v>
      </x:c>
      <x:c r="D13" s="29" t="str">
        <x:v>calendar*.txt</x:v>
      </x:c>
      <x:c r="E13" s="29" t="str">
        <x:v>service_dates</x:v>
      </x:c>
      <x:c r="F13" s="29" t="str">
        <x:v>SQL</x:v>
      </x:c>
      <x:c r="G13" s="29" t="str">
        <x:v>毎日</x:v>
      </x:c>
      <x:c r="H13" s="29" t="str">
        <x:v>例外運休日を優先</x:v>
      </x:c>
      <x:c r="I13" s="29" t="str">
        <x:v>本日の運行便だけを返す</x:v>
      </x:c>
    </x:row>
    <x:row r="14" ht="66" customHeight="1">
      <x:c r="A14" s="29" t="str">
        <x:v>4. API</x:v>
      </x:c>
      <x:c r="B14" s="29" t="str">
        <x:v>現在地近傍停留所</x:v>
      </x:c>
      <x:c r="C14" s="29" t="str">
        <x:v>GET /v1/stops/nearby?lat={lat}&amp;lon={lon}&amp;radius=800&amp;limit=50。ST_DWithinで距離順に返す。</x:v>
      </x:c>
      <x:c r="D14" s="29" t="str">
        <x:v>ユーザー現在地</x:v>
      </x:c>
      <x:c r="E14" s="29" t="str">
        <x:v>停留所＋距離＋路線</x:v>
      </x:c>
      <x:c r="F14" s="29" t="str">
        <x:v>FastAPI/Node＋PostGIS</x:v>
      </x:c>
      <x:c r="G14" s="29" t="str">
        <x:v>リアルタイム</x:v>
      </x:c>
      <x:c r="H14" s="29" t="str">
        <x:v>位置情報拒否時は駅名・住所検索へ切替</x:v>
      </x:c>
      <x:c r="I14" s="29" t="str">
        <x:v>800m内の対象停留所を200ms以内に返す</x:v>
      </x:c>
    </x:row>
    <x:row r="15" ht="66" customHeight="1">
      <x:c r="A15" s="29" t="str">
        <x:v>4. API</x:v>
      </x:c>
      <x:c r="B15" s="29" t="str">
        <x:v>路線・時刻API</x:v>
      </x:c>
      <x:c r="C15" s="29" t="str">
        <x:v>GET /v1/routes/{id}、GET /v1/stops/{id}/departures?date=YYYY-MM-DD。</x:v>
      </x:c>
      <x:c r="D15" s="29" t="str">
        <x:v>正規化GTFS</x:v>
      </x:c>
      <x:c r="E15" s="29" t="str">
        <x:v>JSON</x:v>
      </x:c>
      <x:c r="F15" s="29" t="str">
        <x:v>FastAPI/Node</x:v>
      </x:c>
      <x:c r="G15" s="29" t="str">
        <x:v>静的</x:v>
      </x:c>
      <x:c r="H15" s="29" t="str">
        <x:v>フィード無効時は状態と最終成功日時を返す</x:v>
      </x:c>
      <x:c r="I15" s="29" t="str">
        <x:v>停留所詳細で次便・方面・経路を表示できる</x:v>
      </x:c>
    </x:row>
    <x:row r="16" ht="66" customHeight="1">
      <x:c r="A16" s="29" t="str">
        <x:v>5. フロント</x:v>
      </x:c>
      <x:c r="B16" s="29" t="str">
        <x:v>現在地取得</x:v>
      </x:c>
      <x:c r="C16" s="29" t="str">
        <x:v>Permissions API/Geolocation APIでユーザー操作後に取得し、精度と取得時刻を表示する。</x:v>
      </x:c>
      <x:c r="D16" s="29" t="str">
        <x:v>端末GPS</x:v>
      </x:c>
      <x:c r="E16" s="29" t="str">
        <x:v>地図中心・現在地マーカー</x:v>
      </x:c>
      <x:c r="F16" s="29" t="str">
        <x:v>Web/PWA</x:v>
      </x:c>
      <x:c r="G16" s="29" t="str">
        <x:v>ユーザー操作時</x:v>
      </x:c>
      <x:c r="H16" s="29" t="str">
        <x:v>拒否・タイムアウト時は手動検索</x:v>
      </x:c>
      <x:c r="I16" s="29" t="str">
        <x:v>同意前に位置情報を送信しない</x:v>
      </x:c>
    </x:row>
    <x:row r="17" ht="66" customHeight="1">
      <x:c r="A17" s="29" t="str">
        <x:v>5. フロント</x:v>
      </x:c>
      <x:c r="B17" s="29" t="str">
        <x:v>地図レイヤー</x:v>
      </x:c>
      <x:c r="C17" s="29" t="str">
        <x:v>現在地、停留所、路線形状、選択路線、ライブ車両を別レイヤーに分離する。</x:v>
      </x:c>
      <x:c r="D17" s="29" t="str">
        <x:v>API JSON/Vector Tile</x:v>
      </x:c>
      <x:c r="E17" s="29" t="str">
        <x:v>MapLibre等のレイヤー</x:v>
      </x:c>
      <x:c r="F17" s="29" t="str">
        <x:v>MapLibre GL JS</x:v>
      </x:c>
      <x:c r="G17" s="29" t="str">
        <x:v>操作時</x:v>
      </x:c>
      <x:c r="H17" s="29" t="str">
        <x:v>低速端末は路線形状をズーム別に簡略化</x:v>
      </x:c>
      <x:c r="I17" s="29" t="str">
        <x:v>500停留所表示でも操作が破綻しない</x:v>
      </x:c>
    </x:row>
    <x:row r="18" ht="66" customHeight="1">
      <x:c r="A18" s="29" t="str">
        <x:v>5. フロント</x:v>
      </x:c>
      <x:c r="B18" s="29" t="str">
        <x:v>交通形態別UI</x:v>
      </x:c>
      <x:c r="C18" s="29" t="str">
        <x:v>固定路線、デマンド、乗合タクシー、福祉移送、グリーンスローモビリティをフィルターとアイコンで分ける。</x:v>
      </x:c>
      <x:c r="D18" s="29" t="str">
        <x:v>transport_type</x:v>
      </x:c>
      <x:c r="E18" s="29" t="str">
        <x:v>フィルターUI</x:v>
      </x:c>
      <x:c r="F18" s="29" t="str">
        <x:v>Web/PWA</x:v>
      </x:c>
      <x:c r="G18" s="29" t="str">
        <x:v>操作時</x:v>
      </x:c>
      <x:c r="H18" s="29" t="str">
        <x:v>予約交通は「時刻表型」と誤認させない</x:v>
      </x:c>
      <x:c r="I18" s="29" t="str">
        <x:v>予約要否・対象者制限を表示できる</x:v>
      </x:c>
    </x:row>
    <x:row r="19" ht="66" customHeight="1">
      <x:c r="A19" s="29" t="str">
        <x:v>6. リアルタイム</x:v>
      </x:c>
      <x:c r="B19" s="29" t="str">
        <x:v>GTFS-RT取込</x:v>
      </x:c>
      <x:c r="C19" s="29" t="str">
        <x:v>公開が確認できたVehiclePosition/TripUpdate/Alertのみ取得する。</x:v>
      </x:c>
      <x:c r="D19" s="29" t="str">
        <x:v>protobuf endpoint</x:v>
      </x:c>
      <x:c r="E19" s="29" t="str">
        <x:v>rt_vehicle/rt_trip_update/rt_alert</x:v>
      </x:c>
      <x:c r="F19" s="29" t="str">
        <x:v>常駐ワーカー</x:v>
      </x:c>
      <x:c r="G19" s="29" t="str">
        <x:v>15～30秒</x:v>
      </x:c>
      <x:c r="H19" s="29" t="str">
        <x:v>60秒以上更新なしでstale表示</x:v>
      </x:c>
      <x:c r="I19" s="29" t="str">
        <x:v>静的trip_id/route_idへ結合できる</x:v>
      </x:c>
    </x:row>
    <x:row r="20" ht="66" customHeight="1">
      <x:c r="A20" s="29" t="str">
        <x:v>6. リアルタイム</x:v>
      </x:c>
      <x:c r="B20" s="29" t="str">
        <x:v>車両位置表示</x:v>
      </x:c>
      <x:c r="C20" s="29" t="str">
        <x:v>timestampとcurrent_stop_sequenceを使い、更新時刻・遅延・進行方向を表示する。</x:v>
      </x:c>
      <x:c r="D20" s="29" t="str">
        <x:v>GTFS-RT</x:v>
      </x:c>
      <x:c r="E20" s="29" t="str">
        <x:v>ライブ車両レイヤー</x:v>
      </x:c>
      <x:c r="F20" s="29" t="str">
        <x:v>API＋MapLibre</x:v>
      </x:c>
      <x:c r="G20" s="29" t="str">
        <x:v>15～30秒</x:v>
      </x:c>
      <x:c r="H20" s="29" t="str">
        <x:v>stale時は車両を薄くし最終更新を表示</x:v>
      </x:c>
      <x:c r="I20" s="29" t="str">
        <x:v>古い位置を現在位置として誤表示しない</x:v>
      </x:c>
    </x:row>
    <x:row r="21" ht="66" customHeight="1">
      <x:c r="A21" s="29" t="str">
        <x:v>7. 運用</x:v>
      </x:c>
      <x:c r="B21" s="29" t="str">
        <x:v>帰属・ライセンス表示</x:v>
      </x:c>
      <x:c r="C21" s="29" t="str">
        <x:v>フィード単位のattributionとライセンスURLを画面・データ出力に付与する。</x:v>
      </x:c>
      <x:c r="D21" s="29" t="str">
        <x:v>feed_registry</x:v>
      </x:c>
      <x:c r="E21" s="29" t="str">
        <x:v>クレジット表示</x:v>
      </x:c>
      <x:c r="F21" s="29" t="str">
        <x:v>アプリ共通</x:v>
      </x:c>
      <x:c r="G21" s="29" t="str">
        <x:v>リリースごと</x:v>
      </x:c>
      <x:c r="H21" s="29" t="str">
        <x:v>条件未確認フィードは本番公開しない</x:v>
      </x:c>
      <x:c r="I21" s="29" t="str">
        <x:v>CC BY/ODPT等の条件を満たす</x:v>
      </x:c>
    </x:row>
    <x:row r="22" ht="66" customHeight="1">
      <x:c r="A22" s="29" t="str">
        <x:v>7. 運用</x:v>
      </x:c>
      <x:c r="B22" s="29" t="str">
        <x:v>監視・アラート</x:v>
      </x:c>
      <x:c r="C22" s="29" t="str">
        <x:v>取得失敗、期限60日前、停留所数急変、trip数急変、未知route_idを通知する。</x:v>
      </x:c>
      <x:c r="D22" s="29" t="str">
        <x:v>取得・検証ログ</x:v>
      </x:c>
      <x:c r="E22" s="29" t="str">
        <x:v>監視ダッシュボード</x:v>
      </x:c>
      <x:c r="F22" s="29" t="str">
        <x:v>Cloud Monitoring等</x:v>
      </x:c>
      <x:c r="G22" s="29" t="str">
        <x:v>毎日/随時</x:v>
      </x:c>
      <x:c r="H22" s="29" t="str">
        <x:v>前回成功版へ自動フォールバック</x:v>
      </x:c>
      <x:c r="I22" s="29" t="str">
        <x:v>障害とデータ変更を1営業日以内に把握</x:v>
      </x:c>
    </x:row>
    <x:row r="23" ht="66" customHeight="1">
      <x:c r="A23" s="29" t="str">
        <x:v>8. 品質</x:v>
      </x:c>
      <x:c r="B23" s="29" t="str">
        <x:v>受入テスト</x:v>
      </x:c>
      <x:c r="C23" s="29" t="str">
        <x:v>Kバス、きよバス、杉並グリスロ、iバスを代表ケースにして固定・RT・期限切れを試験する。</x:v>
      </x:c>
      <x:c r="D23" s="29" t="str">
        <x:v>テストフィード</x:v>
      </x:c>
      <x:c r="E23" s="29" t="str">
        <x:v>E2Eテスト結果</x:v>
      </x:c>
      <x:c r="F23" s="29" t="str">
        <x:v>Playwright＋APIテスト</x:v>
      </x:c>
      <x:c r="G23" s="29" t="str">
        <x:v>リリース前</x:v>
      </x:c>
      <x:c r="H23" s="29" t="str">
        <x:v>期待結果との差分をリリースブロック</x:v>
      </x:c>
      <x:c r="I23" s="29" t="str">
        <x:v>現在地→近傍停留所→路線→次便が一連で動く</x:v>
      </x:c>
    </x:row>
  </x:sheetData>
  <x:mergeCells>
    <x:mergeCell ref="A1:I1"/>
    <x:mergeCell ref="A2:I2"/>
  </x:mergeCells>
  <x:pageMargins left="0.7" right="0.7" top="0.75" bottom="0.75" header="0.3" footer="0.3"/>
  <x:tableParts count="1">
    <x:tablePart xmlns:r="http://schemas.openxmlformats.org/officeDocument/2006/relationships" r:id="R30bf8e9c37c74bbf"/>
  </x:tableParts>
</x:worksheet>
</file>

<file path=xl/worksheets/sheet9.xml><?xml version="1.0" encoding="utf-8"?>
<x:worksheet xmlns:x="http://schemas.openxmlformats.org/spreadsheetml/2006/main">
  <x:sheetFormatPr defaultRowHeight="15"/>
  <x:cols>
    <x:col min="1" max="1" width="9" hidden="0" customWidth="1"/>
    <x:col min="2" max="2" width="21" hidden="0" customWidth="1"/>
    <x:col min="3" max="3" width="11" hidden="0" customWidth="1"/>
    <x:col min="4" max="4" width="15" hidden="0" customWidth="1"/>
    <x:col min="5" max="5" width="30" hidden="0" customWidth="1"/>
    <x:col min="6" max="6" width="24" hidden="0" customWidth="1"/>
    <x:col min="7" max="7" width="12" hidden="0" customWidth="1"/>
    <x:col min="8" max="8" width="38" hidden="0" customWidth="1"/>
    <x:col min="9" max="9" width="48" hidden="0" customWidth="1"/>
    <x:col min="10" max="10" width="30" hidden="0" customWidth="1"/>
    <x:col min="11" max="11" width="38" hidden="0" customWidth="1"/>
    <x:col min="12" max="12" width="46" hidden="0" customWidth="1"/>
  </x:cols>
  <x:sheetData>
    <x:row r="1" ht="30" customHeight="1">
      <x:c r="A1" s="5" t="str">
        <x:v>MVP データ取り込み優先順位</x:v>
      </x:c>
      <x:c r="B1" s="5"/>
      <x:c r="C1" s="5"/>
      <x:c r="D1" s="5"/>
      <x:c r="E1" s="5"/>
      <x:c r="F1" s="5"/>
      <x:c r="G1" s="5"/>
      <x:c r="H1" s="5"/>
      <x:c r="I1" s="5"/>
      <x:c r="J1" s="5"/>
      <x:c r="K1" s="5"/>
      <x:c r="L1" s="5"/>
    </x:row>
    <x:row r="2" ht="22" customHeight="1">
      <x:c r="A2" s="13" t="str">
        <x:v>A=即時取り込み、B=認証/規約/照合後、C=予約交通/データ入手、D=除外・保留</x:v>
      </x:c>
      <x:c r="B2" s="13"/>
      <x:c r="C2" s="13"/>
      <x:c r="D2" s="13"/>
      <x:c r="E2" s="13"/>
      <x:c r="F2" s="13"/>
      <x:c r="G2" s="13"/>
      <x:c r="H2" s="13"/>
      <x:c r="I2" s="13"/>
      <x:c r="J2" s="13"/>
      <x:c r="K2" s="13"/>
      <x:c r="L2" s="13"/>
    </x:row>
    <x:row r="3" ht="36" customHeight="1">
      <x:c r="A3" s="36" t="str">
        <x:v>優先度</x:v>
      </x:c>
      <x:c r="B3" s="36" t="str">
        <x:v>種別</x:v>
      </x:c>
      <x:c r="C3" s="36" t="str">
        <x:v>ID</x:v>
      </x:c>
      <x:c r="D3" s="36" t="str">
        <x:v>自治体/範囲</x:v>
      </x:c>
      <x:c r="E3" s="36" t="str">
        <x:v>サービス/フィード</x:v>
      </x:c>
      <x:c r="F3" s="36" t="str">
        <x:v>アクセス</x:v>
      </x:c>
      <x:c r="G3" s="36" t="str">
        <x:v>有効終了</x:v>
      </x:c>
      <x:c r="H3" s="36" t="str">
        <x:v>優先理由</x:v>
      </x:c>
      <x:c r="I3" s="36" t="str">
        <x:v>次の具体作業</x:v>
      </x:c>
      <x:c r="J3" s="36" t="str">
        <x:v>依存条件</x:v>
      </x:c>
      <x:c r="K3" s="36" t="str">
        <x:v>完了条件</x:v>
      </x:c>
      <x:c r="L3" s="36" t="str">
        <x:v>出典URL</x:v>
      </x:c>
    </x:row>
    <x:row r="4" ht="56" customHeight="1">
      <x:c r="A4" s="29" t="str">
        <x:v>A</x:v>
      </x:c>
      <x:c r="B4" s="29" t="str">
        <x:v>個別フィード</x:v>
      </x:c>
      <x:c r="C4" s="29" t="str">
        <x:v>F020</x:v>
      </x:c>
      <x:c r="D4" s="29" t="str">
        <x:v>三宅村</x:v>
      </x:c>
      <x:c r="E4" s="29" t="str">
        <x:v>村営バス</x:v>
      </x:c>
      <x:c r="F4" s="29" t="str">
        <x:v>公開・キー不要</x:v>
      </x:c>
      <x:c r="G4" s="32" t="n">
        <x:v>46387</x:v>
      </x:c>
      <x:c r="H4" s="29" t="str">
        <x:v>現行・公開・キー不要で静的GTFSを即時取得可能</x:v>
      </x:c>
      <x:c r="I4" s="29" t="str">
        <x:v>ZIP取得→validator→PostGIS投入→停留所・路線表示</x:v>
      </x:c>
      <x:c r="J4" s="29" t="str">
        <x:v>CC BY 4.0</x:v>
      </x:c>
      <x:c r="K4" s="29" t="str">
        <x:v>地図に停留所・路線が表示され、今日の運行便を返せる</x:v>
      </x:c>
      <x:c r="L4" s="34" t="str">
        <x:v>https://api-public.odpt.org/api/v4/files/odpt/MiyakeVill/AllLine.zip?date=current</x:v>
      </x:c>
    </x:row>
    <x:row r="5" ht="56" customHeight="1">
      <x:c r="A5" s="29" t="str">
        <x:v>A</x:v>
      </x:c>
      <x:c r="B5" s="29" t="str">
        <x:v>個別フィード</x:v>
      </x:c>
      <x:c r="C5" s="29" t="str">
        <x:v>F005</x:v>
      </x:c>
      <x:c r="D5" s="29" t="str">
        <x:v>北区</x:v>
      </x:c>
      <x:c r="E5" s="29" t="str">
        <x:v>Kバス</x:v>
      </x:c>
      <x:c r="F5" s="29" t="str">
        <x:v>公開・キー不要</x:v>
      </x:c>
      <x:c r="G5" s="32" t="n">
        <x:v>46387</x:v>
      </x:c>
      <x:c r="H5" s="29" t="str">
        <x:v>現行・公開・キー不要で静的GTFSを即時取得可能</x:v>
      </x:c>
      <x:c r="I5" s="29" t="str">
        <x:v>ZIP取得→validator→PostGIS投入→停留所・路線表示</x:v>
      </x:c>
      <x:c r="J5" s="29" t="str">
        <x:v>CC BY 4.0</x:v>
      </x:c>
      <x:c r="K5" s="29" t="str">
        <x:v>地図に停留所・路線が表示され、今日の運行便を返せる</x:v>
      </x:c>
      <x:c r="L5" s="34" t="str">
        <x:v>https://api-public.odpt.org/api/v4/files/odpt/HitachiAutomobileTransportation/KitaAllLines.zip?date=current</x:v>
      </x:c>
    </x:row>
    <x:row r="6" ht="56" customHeight="1">
      <x:c r="A6" s="29" t="str">
        <x:v>A</x:v>
      </x:c>
      <x:c r="B6" s="29" t="str">
        <x:v>個別フィード</x:v>
      </x:c>
      <x:c r="C6" s="29" t="str">
        <x:v>F021</x:v>
      </x:c>
      <x:c r="D6" s="29" t="str">
        <x:v>千代田区</x:v>
      </x:c>
      <x:c r="E6" s="29" t="str">
        <x:v>風ぐるま</x:v>
      </x:c>
      <x:c r="F6" s="29" t="str">
        <x:v>公開・キー不要</x:v>
      </x:c>
      <x:c r="G6" s="32" t="n">
        <x:v>46752</x:v>
      </x:c>
      <x:c r="H6" s="29" t="str">
        <x:v>現行・公開・キー不要で静的GTFSを即時取得可能</x:v>
      </x:c>
      <x:c r="I6" s="29" t="str">
        <x:v>ZIP取得→validator→PostGIS投入→停留所・路線表示</x:v>
      </x:c>
      <x:c r="J6" s="29" t="str">
        <x:v>CC BY 4.0</x:v>
      </x:c>
      <x:c r="K6" s="29" t="str">
        <x:v>地図に停留所・路線が表示され、今日の運行便を返せる</x:v>
      </x:c>
      <x:c r="L6" s="34" t="str">
        <x:v>https://api-public.odpt.org/api/v4/files/odpt/HitachiAutomobileTransportation/Chiyoda_ALLLINES.zip?date=current</x:v>
      </x:c>
    </x:row>
    <x:row r="7" ht="56" customHeight="1">
      <x:c r="A7" s="29" t="str">
        <x:v>A</x:v>
      </x:c>
      <x:c r="B7" s="29" t="str">
        <x:v>個別フィード</x:v>
      </x:c>
      <x:c r="C7" s="29" t="str">
        <x:v>F022</x:v>
      </x:c>
      <x:c r="D7" s="29" t="str">
        <x:v>台東区</x:v>
      </x:c>
      <x:c r="E7" s="29" t="str">
        <x:v>めぐりん</x:v>
      </x:c>
      <x:c r="F7" s="29" t="str">
        <x:v>公開・キー不要</x:v>
      </x:c>
      <x:c r="G7" s="32" t="n">
        <x:v>46387</x:v>
      </x:c>
      <x:c r="H7" s="29" t="str">
        <x:v>現行・公開・キー不要で静的GTFSを即時取得可能</x:v>
      </x:c>
      <x:c r="I7" s="29" t="str">
        <x:v>ZIP取得→validator→PostGIS投入→停留所・路線表示</x:v>
      </x:c>
      <x:c r="J7" s="29" t="str">
        <x:v>CC BY 4.0</x:v>
      </x:c>
      <x:c r="K7" s="29" t="str">
        <x:v>地図に停留所・路線が表示され、今日の運行便を返せる</x:v>
      </x:c>
      <x:c r="L7" s="34" t="str">
        <x:v>https://api-public.odpt.org/api/v4/files/odpt/TokyoTaitoCity/megurinCCBY40.zip?date=current</x:v>
      </x:c>
    </x:row>
    <x:row r="8" ht="56" customHeight="1">
      <x:c r="A8" s="29" t="str">
        <x:v>A</x:v>
      </x:c>
      <x:c r="B8" s="29" t="str">
        <x:v>個別フィード</x:v>
      </x:c>
      <x:c r="C8" s="29" t="str">
        <x:v>F010</x:v>
      </x:c>
      <x:c r="D8" s="29" t="str">
        <x:v>国分寺市</x:v>
      </x:c>
      <x:c r="E8" s="29" t="str">
        <x:v>ぶんバス</x:v>
      </x:c>
      <x:c r="F8" s="29" t="str">
        <x:v>公開・キー不要</x:v>
      </x:c>
      <x:c r="G8" s="32" t="n">
        <x:v>46568</x:v>
      </x:c>
      <x:c r="H8" s="29" t="str">
        <x:v>現行・公開・キー不要で静的GTFSを即時取得可能</x:v>
      </x:c>
      <x:c r="I8" s="29" t="str">
        <x:v>ZIP取得→validator→PostGIS投入→停留所・路線表示</x:v>
      </x:c>
      <x:c r="J8" s="29" t="str">
        <x:v>CC BY 4.0</x:v>
      </x:c>
      <x:c r="K8" s="29" t="str">
        <x:v>地図に停留所・路線が表示され、今日の運行便を返せる</x:v>
      </x:c>
      <x:c r="L8" s="34" t="str">
        <x:v>https://api-public.odpt.org/api/v4/files/odpt/KokubunjiCity/kokubunji_city_bunbus.zip?date=current</x:v>
      </x:c>
    </x:row>
    <x:row r="9" ht="56" customHeight="1">
      <x:c r="A9" s="29" t="str">
        <x:v>A</x:v>
      </x:c>
      <x:c r="B9" s="29" t="str">
        <x:v>個別フィード</x:v>
      </x:c>
      <x:c r="C9" s="29" t="str">
        <x:v>F012</x:v>
      </x:c>
      <x:c r="D9" s="29" t="str">
        <x:v>国立市</x:v>
      </x:c>
      <x:c r="E9" s="29" t="str">
        <x:v>あおやぎっこ</x:v>
      </x:c>
      <x:c r="F9" s="29" t="str">
        <x:v>公開・キー不要</x:v>
      </x:c>
      <x:c r="G9" s="32" t="n">
        <x:v>46399</x:v>
      </x:c>
      <x:c r="H9" s="29" t="str">
        <x:v>現行・公開・キー不要で静的GTFSを即時取得可能</x:v>
      </x:c>
      <x:c r="I9" s="29" t="str">
        <x:v>ZIP取得→validator→PostGIS投入→停留所・路線表示</x:v>
      </x:c>
      <x:c r="J9" s="29" t="str">
        <x:v>CC BY 4.0</x:v>
      </x:c>
      <x:c r="K9" s="29" t="str">
        <x:v>地図に停留所・路線が表示され、今日の運行便を返せる</x:v>
      </x:c>
      <x:c r="L9" s="34" t="str">
        <x:v>https://api.gtfs-data.jp/v2/organizations/kunitachicity/feeds/aoyagikko/files/feed.zip</x:v>
      </x:c>
    </x:row>
    <x:row r="10" ht="56" customHeight="1">
      <x:c r="A10" s="29" t="str">
        <x:v>A</x:v>
      </x:c>
      <x:c r="B10" s="29" t="str">
        <x:v>個別フィード</x:v>
      </x:c>
      <x:c r="C10" s="29" t="str">
        <x:v>F011</x:v>
      </x:c>
      <x:c r="D10" s="29" t="str">
        <x:v>国立市</x:v>
      </x:c>
      <x:c r="E10" s="29" t="str">
        <x:v>くにっこ</x:v>
      </x:c>
      <x:c r="F10" s="29" t="str">
        <x:v>公開・キー不要</x:v>
      </x:c>
      <x:c r="G10" s="32" t="n">
        <x:v>46568</x:v>
      </x:c>
      <x:c r="H10" s="29" t="str">
        <x:v>現行・公開・キー不要で静的GTFSを即時取得可能</x:v>
      </x:c>
      <x:c r="I10" s="29" t="str">
        <x:v>ZIP取得→validator→PostGIS投入→停留所・路線表示</x:v>
      </x:c>
      <x:c r="J10" s="29" t="str">
        <x:v>CC0 1.0</x:v>
      </x:c>
      <x:c r="K10" s="29" t="str">
        <x:v>地図に停留所・路線が表示され、今日の運行便を返せる</x:v>
      </x:c>
      <x:c r="L10" s="34" t="str">
        <x:v>https://api.gtfs-data.jp/v2/organizations/kunitachicity/feeds/kunikko/files/feed.zip</x:v>
      </x:c>
    </x:row>
    <x:row r="11" ht="56" customHeight="1">
      <x:c r="A11" s="29" t="str">
        <x:v>A</x:v>
      </x:c>
      <x:c r="B11" s="29" t="str">
        <x:v>個別フィード</x:v>
      </x:c>
      <x:c r="C11" s="29" t="str">
        <x:v>F023</x:v>
      </x:c>
      <x:c r="D11" s="29" t="str">
        <x:v>小笠原村</x:v>
      </x:c>
      <x:c r="E11" s="29" t="str">
        <x:v>村営バス</x:v>
      </x:c>
      <x:c r="F11" s="29" t="str">
        <x:v>公開・キー不要</x:v>
      </x:c>
      <x:c r="G11" s="32" t="n">
        <x:v>46428</x:v>
      </x:c>
      <x:c r="H11" s="29" t="str">
        <x:v>現行・公開・キー不要で静的GTFSを即時取得可能</x:v>
      </x:c>
      <x:c r="I11" s="29" t="str">
        <x:v>ZIP取得→validator→PostGIS投入→停留所・路線表示</x:v>
      </x:c>
      <x:c r="J11" s="29" t="str">
        <x:v>CC BY 4.0</x:v>
      </x:c>
      <x:c r="K11" s="29" t="str">
        <x:v>地図に停留所・路線が表示され、今日の運行便を返せる</x:v>
      </x:c>
      <x:c r="L11" s="34" t="str">
        <x:v>https://api.gtfs-data.jp/v2/organizations/ogasawaravillage/feeds/o/files/feed.zip</x:v>
      </x:c>
    </x:row>
    <x:row r="12" ht="56" customHeight="1">
      <x:c r="A12" s="29" t="str">
        <x:v>A</x:v>
      </x:c>
      <x:c r="B12" s="29" t="str">
        <x:v>個別フィード</x:v>
      </x:c>
      <x:c r="C12" s="29" t="str">
        <x:v>F003</x:v>
      </x:c>
      <x:c r="D12" s="29" t="str">
        <x:v>文京区</x:v>
      </x:c>
      <x:c r="E12" s="29" t="str">
        <x:v>Bーぐる</x:v>
      </x:c>
      <x:c r="F12" s="29" t="str">
        <x:v>公開・キー不要</x:v>
      </x:c>
      <x:c r="G12" s="32" t="n">
        <x:v>46752</x:v>
      </x:c>
      <x:c r="H12" s="29" t="str">
        <x:v>現行・公開・キー不要で静的GTFSを即時取得可能</x:v>
      </x:c>
      <x:c r="I12" s="29" t="str">
        <x:v>ZIP取得→validator→PostGIS投入→停留所・路線表示</x:v>
      </x:c>
      <x:c r="J12" s="29" t="str">
        <x:v>CC BY 4.0</x:v>
      </x:c>
      <x:c r="K12" s="29" t="str">
        <x:v>地図に停留所・路線が表示され、今日の運行便を返せる</x:v>
      </x:c>
      <x:c r="L12" s="34" t="str">
        <x:v>https://api-public.odpt.org/api/v4/files/odpt/HitachiAutomobileTransportation/AllLines.zip?date=current</x:v>
      </x:c>
    </x:row>
    <x:row r="13" ht="56" customHeight="1">
      <x:c r="A13" s="29" t="str">
        <x:v>A</x:v>
      </x:c>
      <x:c r="B13" s="29" t="str">
        <x:v>個別フィード</x:v>
      </x:c>
      <x:c r="C13" s="29" t="str">
        <x:v>F025</x:v>
      </x:c>
      <x:c r="D13" s="29" t="str">
        <x:v>杉並区</x:v>
      </x:c>
      <x:c r="E13" s="29" t="str">
        <x:v>グリーンスローモビリティ</x:v>
      </x:c>
      <x:c r="F13" s="29" t="str">
        <x:v>公開・キー不要</x:v>
      </x:c>
      <x:c r="G13" s="32" t="n">
        <x:v>46934</x:v>
      </x:c>
      <x:c r="H13" s="29" t="str">
        <x:v>現行・公開・キー不要で静的GTFSを即時取得可能</x:v>
      </x:c>
      <x:c r="I13" s="29" t="str">
        <x:v>ZIP取得→validator→PostGIS投入→停留所・路線表示</x:v>
      </x:c>
      <x:c r="J13" s="29" t="str">
        <x:v>CC BY 4.0</x:v>
      </x:c>
      <x:c r="K13" s="29" t="str">
        <x:v>地図に停留所・路線が表示され、今日の運行便を返せる</x:v>
      </x:c>
      <x:c r="L13" s="34" t="str">
        <x:v>https://api-public.odpt.org/api/v4/files/odpt/TokyoSuginamiCity/GreenSlowMobility.zip?date=current</x:v>
      </x:c>
    </x:row>
    <x:row r="14" ht="56" customHeight="1">
      <x:c r="A14" s="29" t="str">
        <x:v>A</x:v>
      </x:c>
      <x:c r="B14" s="29" t="str">
        <x:v>個別フィード</x:v>
      </x:c>
      <x:c r="C14" s="29" t="str">
        <x:v>F026</x:v>
      </x:c>
      <x:c r="D14" s="29" t="str">
        <x:v>東大和市</x:v>
      </x:c>
      <x:c r="E14" s="29" t="str">
        <x:v>ちょこバス</x:v>
      </x:c>
      <x:c r="F14" s="29" t="str">
        <x:v>公開・キー不要</x:v>
      </x:c>
      <x:c r="G14" s="32" t="n">
        <x:v>46477</x:v>
      </x:c>
      <x:c r="H14" s="29" t="str">
        <x:v>現行・公開・キー不要で静的GTFSを即時取得可能</x:v>
      </x:c>
      <x:c r="I14" s="29" t="str">
        <x:v>ZIP取得→validator→PostGIS投入→停留所・路線表示</x:v>
      </x:c>
      <x:c r="J14" s="29" t="str">
        <x:v>CC0 1.0</x:v>
      </x:c>
      <x:c r="K14" s="29" t="str">
        <x:v>地図に停留所・路線が表示され、今日の運行便を返せる</x:v>
      </x:c>
      <x:c r="L14" s="34" t="str">
        <x:v>https://api-public.odpt.org/api/v4/files/odpt/HigashiyamatoCity/AllLines_CC0.zip?date=current</x:v>
      </x:c>
    </x:row>
    <x:row r="15" ht="56" customHeight="1">
      <x:c r="A15" s="29" t="str">
        <x:v>A</x:v>
      </x:c>
      <x:c r="B15" s="29" t="str">
        <x:v>個別フィード</x:v>
      </x:c>
      <x:c r="C15" s="29" t="str">
        <x:v>F015</x:v>
      </x:c>
      <x:c r="D15" s="29" t="str">
        <x:v>東村山市</x:v>
      </x:c>
      <x:c r="E15" s="29" t="str">
        <x:v>グリーンバス</x:v>
      </x:c>
      <x:c r="F15" s="29" t="str">
        <x:v>公開・キー不要</x:v>
      </x:c>
      <x:c r="G15" s="32" t="n">
        <x:v>46843</x:v>
      </x:c>
      <x:c r="H15" s="29" t="str">
        <x:v>現行・公開・キー不要で静的GTFSを即時取得可能</x:v>
      </x:c>
      <x:c r="I15" s="29" t="str">
        <x:v>ZIP取得→validator→PostGIS投入→停留所・路線表示</x:v>
      </x:c>
      <x:c r="J15" s="29" t="str">
        <x:v>CC BY 4.0</x:v>
      </x:c>
      <x:c r="K15" s="29" t="str">
        <x:v>地図に停留所・路線が表示され、今日の運行便を返せる</x:v>
      </x:c>
      <x:c r="L15" s="34" t="str">
        <x:v>https://api-public.odpt.org/api/v4/files/odpt/HigashiMurayamaCity/Alllines.zip?date=current</x:v>
      </x:c>
    </x:row>
    <x:row r="16" ht="56" customHeight="1">
      <x:c r="A16" s="29" t="str">
        <x:v>A</x:v>
      </x:c>
      <x:c r="B16" s="29" t="str">
        <x:v>個別フィード</x:v>
      </x:c>
      <x:c r="C16" s="29" t="str">
        <x:v>F008</x:v>
      </x:c>
      <x:c r="D16" s="29" t="str">
        <x:v>板橋区</x:v>
      </x:c>
      <x:c r="E16" s="29" t="str">
        <x:v>りんりんGO</x:v>
      </x:c>
      <x:c r="F16" s="29" t="str">
        <x:v>公開・キー不要</x:v>
      </x:c>
      <x:c r="G16" s="32" t="n">
        <x:v>46843</x:v>
      </x:c>
      <x:c r="H16" s="29" t="str">
        <x:v>現行・公開・キー不要で静的GTFSを即時取得可能</x:v>
      </x:c>
      <x:c r="I16" s="29" t="str">
        <x:v>ZIP取得→validator→PostGIS投入→停留所・路線表示</x:v>
      </x:c>
      <x:c r="J16" s="29" t="str">
        <x:v>CC BY 4.0</x:v>
      </x:c>
      <x:c r="K16" s="29" t="str">
        <x:v>地図に停留所・路線が表示され、今日の運行便を返せる</x:v>
      </x:c>
      <x:c r="L16" s="34" t="str">
        <x:v>https://www.city.itabashi.tokyo.jp/_res/projects/default_project/_page_/001/006/732/rinringo_gtfs_20260401asshuku.zip</x:v>
      </x:c>
    </x:row>
    <x:row r="17" ht="56" customHeight="1">
      <x:c r="A17" s="29" t="str">
        <x:v>A</x:v>
      </x:c>
      <x:c r="B17" s="29" t="str">
        <x:v>個別フィード</x:v>
      </x:c>
      <x:c r="C17" s="29" t="str">
        <x:v>F013</x:v>
      </x:c>
      <x:c r="D17" s="29" t="str">
        <x:v>清瀬市</x:v>
      </x:c>
      <x:c r="E17" s="29" t="str">
        <x:v>きよバス</x:v>
      </x:c>
      <x:c r="F17" s="29" t="str">
        <x:v>公開・キー不要</x:v>
      </x:c>
      <x:c r="G17" s="32" t="n">
        <x:v>46477</x:v>
      </x:c>
      <x:c r="H17" s="29" t="str">
        <x:v>現行・公開・キー不要で静的GTFSを即時取得可能</x:v>
      </x:c>
      <x:c r="I17" s="29" t="str">
        <x:v>ZIP取得→validator→PostGIS投入→停留所・路線表示</x:v>
      </x:c>
      <x:c r="J17" s="29" t="str">
        <x:v>CC BY 4.0</x:v>
      </x:c>
      <x:c r="K17" s="29" t="str">
        <x:v>地図に停留所・路線が表示され、今日の運行便を返せる</x:v>
      </x:c>
      <x:c r="L17" s="34" t="str">
        <x:v>https://api-public.odpt.org/api/v4/files/odpt/KiyoseCity/KiyoBus.zip?date=current</x:v>
      </x:c>
    </x:row>
    <x:row r="18" ht="56" customHeight="1">
      <x:c r="A18" s="29" t="str">
        <x:v>A</x:v>
      </x:c>
      <x:c r="B18" s="29" t="str">
        <x:v>個別フィード</x:v>
      </x:c>
      <x:c r="C18" s="29" t="str">
        <x:v>F001</x:v>
      </x:c>
      <x:c r="D18" s="29" t="str">
        <x:v>渋谷区</x:v>
      </x:c>
      <x:c r="E18" s="29" t="str">
        <x:v>ハチ公バス</x:v>
      </x:c>
      <x:c r="F18" s="29" t="str">
        <x:v>公開・キー不要</x:v>
      </x:c>
      <x:c r="G18" s="32" t="n">
        <x:v>47573</x:v>
      </x:c>
      <x:c r="H18" s="29" t="str">
        <x:v>現行・公開・キー不要で静的GTFSを即時取得可能</x:v>
      </x:c>
      <x:c r="I18" s="29" t="str">
        <x:v>ZIP取得→validator→PostGIS投入→停留所・路線表示</x:v>
      </x:c>
      <x:c r="J18" s="29" t="str">
        <x:v>CC BY 4.0</x:v>
      </x:c>
      <x:c r="K18" s="29" t="str">
        <x:v>地図に停留所・路線が表示され、今日の運行便を返せる</x:v>
      </x:c>
      <x:c r="L18" s="34" t="str">
        <x:v>https://www.arcgis.com/sharing/rest/content/items/185d0dbc980443b8b60e135349e2ae5e/data</x:v>
      </x:c>
    </x:row>
    <x:row r="19" ht="56" customHeight="1">
      <x:c r="A19" s="29" t="str">
        <x:v>A</x:v>
      </x:c>
      <x:c r="B19" s="29" t="str">
        <x:v>個別フィード</x:v>
      </x:c>
      <x:c r="C19" s="29" t="str">
        <x:v>F018</x:v>
      </x:c>
      <x:c r="D19" s="29" t="str">
        <x:v>瑞穂町</x:v>
      </x:c>
      <x:c r="E19" s="29" t="str">
        <x:v>コミュニティバス</x:v>
      </x:c>
      <x:c r="F19" s="29" t="str">
        <x:v>公開・キー不要</x:v>
      </x:c>
      <x:c r="G19" s="32" t="n">
        <x:v>46477</x:v>
      </x:c>
      <x:c r="H19" s="29" t="str">
        <x:v>現行・公開・キー不要で静的GTFSを即時取得可能</x:v>
      </x:c>
      <x:c r="I19" s="29" t="str">
        <x:v>ZIP取得→validator→PostGIS投入→停留所・路線表示</x:v>
      </x:c>
      <x:c r="J19" s="29" t="str">
        <x:v>CC BY 4.0</x:v>
      </x:c>
      <x:c r="K19" s="29" t="str">
        <x:v>地図に停留所・路線が表示され、今日の運行便を返せる</x:v>
      </x:c>
      <x:c r="L19" s="34" t="str">
        <x:v>https://api.gtfs-data.jp/v2/organizations/mizuhotown/feeds/communitybus/files/feed.zip</x:v>
      </x:c>
    </x:row>
    <x:row r="20" ht="56" customHeight="1">
      <x:c r="A20" s="29" t="str">
        <x:v>A</x:v>
      </x:c>
      <x:c r="B20" s="29" t="str">
        <x:v>個別フィード</x:v>
      </x:c>
      <x:c r="C20" s="29" t="str">
        <x:v>F016</x:v>
      </x:c>
      <x:c r="D20" s="29" t="str">
        <x:v>町田市</x:v>
      </x:c>
      <x:c r="E20" s="29" t="str">
        <x:v>市民バス・コミュニティバス</x:v>
      </x:c>
      <x:c r="F20" s="29" t="str">
        <x:v>公開・キー不要</x:v>
      </x:c>
      <x:c r="G20" s="32" t="n">
        <x:v>46843</x:v>
      </x:c>
      <x:c r="H20" s="29" t="str">
        <x:v>現行・公開・キー不要で静的GTFSを即時取得可能</x:v>
      </x:c>
      <x:c r="I20" s="29" t="str">
        <x:v>ZIP取得→validator→PostGIS投入→停留所・路線表示</x:v>
      </x:c>
      <x:c r="J20" s="29" t="str">
        <x:v>CC0 1.0</x:v>
      </x:c>
      <x:c r="K20" s="29" t="str">
        <x:v>地図に停留所・路線が表示され、今日の運行便を返せる</x:v>
      </x:c>
      <x:c r="L20" s="34" t="str">
        <x:v>https://api-public.odpt.org/api/v4/files/odpt/MachidaCity/AllLines.zip?date=current</x:v>
      </x:c>
    </x:row>
    <x:row r="21" ht="56" customHeight="1">
      <x:c r="A21" s="29" t="str">
        <x:v>A</x:v>
      </x:c>
      <x:c r="B21" s="29" t="str">
        <x:v>個別フィード</x:v>
      </x:c>
      <x:c r="C21" s="29" t="str">
        <x:v>F028</x:v>
      </x:c>
      <x:c r="D21" s="29" t="str">
        <x:v>神津島村</x:v>
      </x:c>
      <x:c r="E21" s="29" t="str">
        <x:v>村営バス</x:v>
      </x:c>
      <x:c r="F21" s="29" t="str">
        <x:v>公開・キー不要</x:v>
      </x:c>
      <x:c r="G21" s="32" t="n">
        <x:v>46415</x:v>
      </x:c>
      <x:c r="H21" s="29" t="str">
        <x:v>現行・公開・キー不要で静的GTFSを即時取得可能</x:v>
      </x:c>
      <x:c r="I21" s="29" t="str">
        <x:v>ZIP取得→validator→PostGIS投入→停留所・路線表示</x:v>
      </x:c>
      <x:c r="J21" s="29" t="str">
        <x:v>CC BY 4.0</x:v>
      </x:c>
      <x:c r="K21" s="29" t="str">
        <x:v>地図に停留所・路線が表示され、今日の運行便を返せる</x:v>
      </x:c>
      <x:c r="L21" s="34" t="str">
        <x:v>https://api.gtfs-data.jp/v2/organizations/kozushimavillage/feeds/kozushimavillagebus/files/feed.zip</x:v>
      </x:c>
    </x:row>
    <x:row r="22" ht="56" customHeight="1">
      <x:c r="A22" s="29" t="str">
        <x:v>A</x:v>
      </x:c>
      <x:c r="B22" s="29" t="str">
        <x:v>個別フィード</x:v>
      </x:c>
      <x:c r="C22" s="29" t="str">
        <x:v>F014</x:v>
      </x:c>
      <x:c r="D22" s="29" t="str">
        <x:v>立川市</x:v>
      </x:c>
      <x:c r="E22" s="29" t="str">
        <x:v>くるりん</x:v>
      </x:c>
      <x:c r="F22" s="29" t="str">
        <x:v>公開・キー不要</x:v>
      </x:c>
      <x:c r="G22" s="32" t="n">
        <x:v>46477</x:v>
      </x:c>
      <x:c r="H22" s="29" t="str">
        <x:v>現行・公開・キー不要で静的GTFSを即時取得可能</x:v>
      </x:c>
      <x:c r="I22" s="29" t="str">
        <x:v>ZIP取得→validator→PostGIS投入→停留所・路線表示</x:v>
      </x:c>
      <x:c r="J22" s="29" t="str">
        <x:v>CC BY 4.0</x:v>
      </x:c>
      <x:c r="K22" s="29" t="str">
        <x:v>地図に停留所・路線が表示され、今日の運行便を返せる</x:v>
      </x:c>
      <x:c r="L22" s="34" t="str">
        <x:v>https://api.gtfs-data.jp/v2/organizations/tachikawacity/feeds/kururinbus/files/feed.zip</x:v>
      </x:c>
    </x:row>
    <x:row r="23" ht="56" customHeight="1">
      <x:c r="A23" s="29" t="str">
        <x:v>A</x:v>
      </x:c>
      <x:c r="B23" s="29" t="str">
        <x:v>個別フィード</x:v>
      </x:c>
      <x:c r="C23" s="29" t="str">
        <x:v>F029</x:v>
      </x:c>
      <x:c r="D23" s="29" t="str">
        <x:v>荒川区</x:v>
      </x:c>
      <x:c r="E23" s="29" t="str">
        <x:v>コミュニティバスさくら</x:v>
      </x:c>
      <x:c r="F23" s="29" t="str">
        <x:v>公開・キー不要</x:v>
      </x:c>
      <x:c r="G23" s="32" t="n">
        <x:v>46446</x:v>
      </x:c>
      <x:c r="H23" s="29" t="str">
        <x:v>現行・公開・キー不要で静的GTFSを即時取得可能</x:v>
      </x:c>
      <x:c r="I23" s="29" t="str">
        <x:v>ZIP取得→validator→PostGIS投入→停留所・路線表示</x:v>
      </x:c>
      <x:c r="J23" s="29" t="str">
        <x:v>CC BY 4.0</x:v>
      </x:c>
      <x:c r="K23" s="29" t="str">
        <x:v>地図に停留所・路線が表示され、今日の運行便を返せる</x:v>
      </x:c>
      <x:c r="L23" s="34" t="str">
        <x:v>https://api.gtfs-data.jp/v2/organizations/arakawacity/feeds/sakura/files/feed.zip</x:v>
      </x:c>
    </x:row>
    <x:row r="24" ht="56" customHeight="1">
      <x:c r="A24" s="29" t="str">
        <x:v>A</x:v>
      </x:c>
      <x:c r="B24" s="29" t="str">
        <x:v>個別フィード</x:v>
      </x:c>
      <x:c r="C24" s="29" t="str">
        <x:v>F030</x:v>
      </x:c>
      <x:c r="D24" s="29" t="str">
        <x:v>西東京市</x:v>
      </x:c>
      <x:c r="E24" s="29" t="str">
        <x:v>はなバス</x:v>
      </x:c>
      <x:c r="F24" s="29" t="str">
        <x:v>公開・キー不要</x:v>
      </x:c>
      <x:c r="G24" s="32" t="n">
        <x:v>46477</x:v>
      </x:c>
      <x:c r="H24" s="29" t="str">
        <x:v>現行・公開・キー不要で静的GTFSを即時取得可能</x:v>
      </x:c>
      <x:c r="I24" s="29" t="str">
        <x:v>ZIP取得→validator→PostGIS投入→停留所・路線表示</x:v>
      </x:c>
      <x:c r="J24" s="29" t="str">
        <x:v>CC BY 4.0</x:v>
      </x:c>
      <x:c r="K24" s="29" t="str">
        <x:v>地図に停留所・路線が表示され、今日の運行便を返せる</x:v>
      </x:c>
      <x:c r="L24" s="34" t="str">
        <x:v>https://api-public.odpt.org/api/v4/files/odpt/NishitokyoCity/AllLines.zip?date=current</x:v>
      </x:c>
    </x:row>
    <x:row r="25" ht="56" customHeight="1">
      <x:c r="A25" s="29" t="str">
        <x:v>B</x:v>
      </x:c>
      <x:c r="B25" s="29" t="str">
        <x:v>事業者包括GTFS</x:v>
      </x:c>
      <x:c r="C25" s="29" t="str">
        <x:v>OP001</x:v>
      </x:c>
      <x:c r="D25" s="29" t="str">
        <x:v>複数自治体</x:v>
      </x:c>
      <x:c r="E25" s="29" t="str">
        <x:v>京王バス</x:v>
      </x:c>
      <x:c r="F25" s="29" t="str">
        <x:v>ODPT利用登録・キー</x:v>
      </x:c>
      <x:c r="G25" s="32" t="n">
        <x:v>46387</x:v>
      </x:c>
      <x:c r="H25" s="29" t="str">
        <x:v>自治体コミュニティ路線のroute_id照合が必要</x:v>
      </x:c>
      <x:c r="I25" s="29" t="str">
        <x:v>候補サービスのroutes.txtを抽出し、自治体サービスとの対応表を作成</x:v>
      </x:c>
      <x:c r="J25" s="29" t="str">
        <x:v>ODPT利用規約</x:v>
      </x:c>
      <x:c r="K25" s="29" t="str">
        <x:v>対象route_idホワイトリストがレビュー済み</x:v>
      </x:c>
      <x:c r="L25" s="34" t="str">
        <x:v>https://api.odpt.org/api/v4/files/odpt/KeioBus/AllLines.zip?acl%3AconsumerKey=&amp;date=current</x:v>
      </x:c>
    </x:row>
    <x:row r="26" ht="56" customHeight="1">
      <x:c r="A26" s="29" t="str">
        <x:v>B</x:v>
      </x:c>
      <x:c r="B26" s="29" t="str">
        <x:v>事業者包括GTFS</x:v>
      </x:c>
      <x:c r="C26" s="29" t="str">
        <x:v>OP005</x:v>
      </x:c>
      <x:c r="D26" s="29" t="str">
        <x:v>複数自治体</x:v>
      </x:c>
      <x:c r="E26" s="29" t="str">
        <x:v>小田急バス</x:v>
      </x:c>
      <x:c r="F26" s="29" t="str">
        <x:v>ODPT利用登録・キー</x:v>
      </x:c>
      <x:c r="G26" s="32"/>
      <x:c r="H26" s="29" t="str">
        <x:v>自治体コミュニティ路線のroute_id照合が必要</x:v>
      </x:c>
      <x:c r="I26" s="29" t="str">
        <x:v>候補サービスのroutes.txtを抽出し、自治体サービスとの対応表を作成</x:v>
      </x:c>
      <x:c r="J26" s="29" t="str">
        <x:v>ODPT利用規約</x:v>
      </x:c>
      <x:c r="K26" s="29" t="str">
        <x:v>対象route_idホワイトリストがレビュー済み</x:v>
      </x:c>
      <x:c r="L26" s="34" t="str">
        <x:v>https://api.odpt.org/api/v4/files/odpt/OdakyuBus/AIILines.zip?acl%3AconsumerKey=&amp;date=current</x:v>
      </x:c>
    </x:row>
    <x:row r="27" ht="56" customHeight="1">
      <x:c r="A27" s="29" t="str">
        <x:v>B</x:v>
      </x:c>
      <x:c r="B27" s="29" t="str">
        <x:v>事業者包括GTFS</x:v>
      </x:c>
      <x:c r="C27" s="29" t="str">
        <x:v>OP004</x:v>
      </x:c>
      <x:c r="D27" s="29" t="str">
        <x:v>複数自治体</x:v>
      </x:c>
      <x:c r="E27" s="29" t="str">
        <x:v>西東京バス</x:v>
      </x:c>
      <x:c r="F27" s="29" t="str">
        <x:v>ODPT利用登録・キー</x:v>
      </x:c>
      <x:c r="G27" s="32" t="n">
        <x:v>46262</x:v>
      </x:c>
      <x:c r="H27" s="29" t="str">
        <x:v>自治体コミュニティ路線のroute_id照合が必要</x:v>
      </x:c>
      <x:c r="I27" s="29" t="str">
        <x:v>候補サービスのroutes.txtを抽出し、自治体サービスとの対応表を作成</x:v>
      </x:c>
      <x:c r="J27" s="29" t="str">
        <x:v>ODPT利用規約</x:v>
      </x:c>
      <x:c r="K27" s="29" t="str">
        <x:v>対象route_idホワイトリストがレビュー済み</x:v>
      </x:c>
      <x:c r="L27" s="34" t="str">
        <x:v>https://api.odpt.org/api/v4/files/odpt/NishiTokyoBus/NTBus.zip?acl%3AconsumerKey=&amp;date=current</x:v>
      </x:c>
    </x:row>
    <x:row r="28" ht="56" customHeight="1">
      <x:c r="A28" s="29" t="str">
        <x:v>B</x:v>
      </x:c>
      <x:c r="B28" s="29" t="str">
        <x:v>事業者包括GTFS</x:v>
      </x:c>
      <x:c r="C28" s="29" t="str">
        <x:v>OP002</x:v>
      </x:c>
      <x:c r="D28" s="29" t="str">
        <x:v>複数自治体</x:v>
      </x:c>
      <x:c r="E28" s="29" t="str">
        <x:v>西武バス</x:v>
      </x:c>
      <x:c r="F28" s="29" t="str">
        <x:v>ODPT利用登録・キー</x:v>
      </x:c>
      <x:c r="G28" s="32" t="n">
        <x:v>46326</x:v>
      </x:c>
      <x:c r="H28" s="29" t="str">
        <x:v>自治体コミュニティ路線のroute_id照合が必要</x:v>
      </x:c>
      <x:c r="I28" s="29" t="str">
        <x:v>候補サービスのroutes.txtを抽出し、自治体サービスとの対応表を作成</x:v>
      </x:c>
      <x:c r="J28" s="29" t="str">
        <x:v>ODPT利用規約</x:v>
      </x:c>
      <x:c r="K28" s="29" t="str">
        <x:v>対象route_idホワイトリストがレビュー済み</x:v>
      </x:c>
      <x:c r="L28" s="34" t="str">
        <x:v>https://api.odpt.org/api/v4/files/SeibuBus/data/SeibuBus-GTFS.zip?acl%3AconsumerKey=</x:v>
      </x:c>
    </x:row>
    <x:row r="29" ht="56" customHeight="1">
      <x:c r="A29" s="29" t="str">
        <x:v>B</x:v>
      </x:c>
      <x:c r="B29" s="29" t="str">
        <x:v>個別フィード</x:v>
      </x:c>
      <x:c r="C29" s="29" t="str">
        <x:v>F004</x:v>
      </x:c>
      <x:c r="D29" s="29" t="str">
        <x:v>中央区</x:v>
      </x:c>
      <x:c r="E29" s="29" t="str">
        <x:v>江戸バス</x:v>
      </x:c>
      <x:c r="F29" s="29" t="str">
        <x:v>ODPT利用登録・キー</x:v>
      </x:c>
      <x:c r="G29" s="32" t="n">
        <x:v>46934</x:v>
      </x:c>
      <x:c r="H29" s="29" t="str">
        <x:v>認証／利用条件／部分収録／ライセンス確認が必要</x:v>
      </x:c>
      <x:c r="I29" s="29" t="str">
        <x:v>利用登録・規約確認または収録範囲照合後にA工程へ</x:v>
      </x:c>
      <x:c r="J29" s="29" t="str">
        <x:v>ODPT利用規約</x:v>
      </x:c>
      <x:c r="K29" s="29" t="str">
        <x:v>取得権限とroute_id対応表が確定</x:v>
      </x:c>
      <x:c r="L29" s="34" t="str">
        <x:v>https://api.odpt.org/api/v4/files/odpt/TokyoChuoCity/Alldata.zip?acl%3AconsumerKey=&amp;date=current</x:v>
      </x:c>
    </x:row>
    <x:row r="30" ht="56" customHeight="1">
      <x:c r="A30" s="29" t="str">
        <x:v>B</x:v>
      </x:c>
      <x:c r="B30" s="29" t="str">
        <x:v>個別フィード</x:v>
      </x:c>
      <x:c r="C30" s="29" t="str">
        <x:v>F006</x:v>
      </x:c>
      <x:c r="D30" s="29" t="str">
        <x:v>品川区</x:v>
      </x:c>
      <x:c r="E30" s="29" t="str">
        <x:v>しなバス</x:v>
      </x:c>
      <x:c r="F30" s="29" t="str">
        <x:v>ODPT利用登録・キー</x:v>
      </x:c>
      <x:c r="G30" s="32" t="n">
        <x:v>46295</x:v>
      </x:c>
      <x:c r="H30" s="29" t="str">
        <x:v>認証／利用条件／部分収録／ライセンス確認が必要</x:v>
      </x:c>
      <x:c r="I30" s="29" t="str">
        <x:v>利用登録・規約確認または収録範囲照合後にA工程へ</x:v>
      </x:c>
      <x:c r="J30" s="29" t="str">
        <x:v>ODPT利用規約</x:v>
      </x:c>
      <x:c r="K30" s="29" t="str">
        <x:v>取得権限とroute_id対応表が確定</x:v>
      </x:c>
      <x:c r="L30" s="34" t="str">
        <x:v>https://api.odpt.org/api/v4/files/odpt/TokyuBus/tokyubus_community_ShinagawaCity.zip?acl%3AconsumerKey=&amp;date=current</x:v>
      </x:c>
    </x:row>
    <x:row r="31" ht="56" customHeight="1">
      <x:c r="A31" s="29" t="str">
        <x:v>B</x:v>
      </x:c>
      <x:c r="B31" s="29" t="str">
        <x:v>個別フィード</x:v>
      </x:c>
      <x:c r="C31" s="29" t="str">
        <x:v>F032</x:v>
      </x:c>
      <x:c r="D31" s="29" t="str">
        <x:v>大島町</x:v>
      </x:c>
      <x:c r="E31" s="29" t="str">
        <x:v>大島バス</x:v>
      </x:c>
      <x:c r="F31" s="29" t="str">
        <x:v>ODPT利用登録・キー</x:v>
      </x:c>
      <x:c r="G31" s="32" t="n">
        <x:v>46295</x:v>
      </x:c>
      <x:c r="H31" s="29" t="str">
        <x:v>認証／利用条件／部分収録／ライセンス確認が必要</x:v>
      </x:c>
      <x:c r="I31" s="29" t="str">
        <x:v>利用登録・規約確認または収録範囲照合後にA工程へ</x:v>
      </x:c>
      <x:c r="J31" s="29" t="str">
        <x:v>ODPT利用規約</x:v>
      </x:c>
      <x:c r="K31" s="29" t="str">
        <x:v>取得権限とroute_id対応表が確定</x:v>
      </x:c>
      <x:c r="L31" s="34" t="str">
        <x:v>https://api.odpt.org/api/v4/files/odpt/OshimaBus/AllLines.zip?acl%3AconsumerKey=&amp;date=current</x:v>
      </x:c>
    </x:row>
    <x:row r="32" ht="56" customHeight="1">
      <x:c r="A32" s="29" t="str">
        <x:v>B</x:v>
      </x:c>
      <x:c r="B32" s="29" t="str">
        <x:v>個別フィード</x:v>
      </x:c>
      <x:c r="C32" s="29" t="str">
        <x:v>F007</x:v>
      </x:c>
      <x:c r="D32" s="29" t="str">
        <x:v>大田区</x:v>
      </x:c>
      <x:c r="E32" s="29" t="str">
        <x:v>たまちゃん</x:v>
      </x:c>
      <x:c r="F32" s="29" t="str">
        <x:v>ODPT利用登録・キー</x:v>
      </x:c>
      <x:c r="G32" s="32" t="n">
        <x:v>46295</x:v>
      </x:c>
      <x:c r="H32" s="29" t="str">
        <x:v>認証／利用条件／部分収録／ライセンス確認が必要</x:v>
      </x:c>
      <x:c r="I32" s="29" t="str">
        <x:v>利用登録・規約確認または収録範囲照合後にA工程へ</x:v>
      </x:c>
      <x:c r="J32" s="29" t="str">
        <x:v>ODPT利用規約</x:v>
      </x:c>
      <x:c r="K32" s="29" t="str">
        <x:v>取得権限とroute_id対応表が確定</x:v>
      </x:c>
      <x:c r="L32" s="34" t="str">
        <x:v>https://api.odpt.org/api/v4/files/odpt/TokyuBus/tokyubus_community_OtaCity.zip?acl%3AconsumerKey=&amp;date=current</x:v>
      </x:c>
    </x:row>
    <x:row r="33" ht="56" customHeight="1">
      <x:c r="A33" s="29" t="str">
        <x:v>B</x:v>
      </x:c>
      <x:c r="B33" s="29" t="str">
        <x:v>個別フィード</x:v>
      </x:c>
      <x:c r="C33" s="29" t="str">
        <x:v>F024</x:v>
      </x:c>
      <x:c r="D33" s="29" t="str">
        <x:v>小金井市</x:v>
      </x:c>
      <x:c r="E33" s="29" t="str">
        <x:v>CoCoバス・ミニ（野川・七軒家）</x:v>
      </x:c>
      <x:c r="F33" s="29" t="str">
        <x:v>ODPT利用登録・キー</x:v>
      </x:c>
      <x:c r="G33" s="32" t="n">
        <x:v>46477</x:v>
      </x:c>
      <x:c r="H33" s="29" t="str">
        <x:v>認証／利用条件／部分収録／ライセンス確認が必要</x:v>
      </x:c>
      <x:c r="I33" s="29" t="str">
        <x:v>利用登録・規約確認または収録範囲照合後にA工程へ</x:v>
      </x:c>
      <x:c r="J33" s="29" t="str">
        <x:v>ODPT利用規約</x:v>
      </x:c>
      <x:c r="K33" s="29" t="str">
        <x:v>取得権限とroute_id対応表が確定</x:v>
      </x:c>
      <x:c r="L33" s="34" t="str">
        <x:v>https://api.odpt.org/api/v4/files/odpt/TsukubaKankouKotsu/CoCoBusNogawa.zip?acl%3AconsumerKey=&amp;date=current</x:v>
      </x:c>
    </x:row>
    <x:row r="34" ht="56" customHeight="1">
      <x:c r="A34" s="29" t="str">
        <x:v>B</x:v>
      </x:c>
      <x:c r="B34" s="29" t="str">
        <x:v>個別フィード</x:v>
      </x:c>
      <x:c r="C34" s="29" t="str">
        <x:v>F002</x:v>
      </x:c>
      <x:c r="D34" s="29" t="str">
        <x:v>港区</x:v>
      </x:c>
      <x:c r="E34" s="29" t="str">
        <x:v>ちぃばす</x:v>
      </x:c>
      <x:c r="F34" s="29" t="str">
        <x:v>公開・キー不要</x:v>
      </x:c>
      <x:c r="G34" s="32" t="n">
        <x:v>46387</x:v>
      </x:c>
      <x:c r="H34" s="29" t="str">
        <x:v>認証／利用条件／部分収録／ライセンス確認が必要</x:v>
      </x:c>
      <x:c r="I34" s="29" t="str">
        <x:v>利用登録・規約確認または収録範囲照合後にA工程へ</x:v>
      </x:c>
      <x:c r="J34" s="29" t="str">
        <x:v>要確認</x:v>
      </x:c>
      <x:c r="K34" s="29" t="str">
        <x:v>取得権限とroute_id対応表が確定</x:v>
      </x:c>
      <x:c r="L34" s="34" t="str">
        <x:v>https://gtfs-jp.buskita.com/fxc/gtfs.zip</x:v>
      </x:c>
    </x:row>
    <x:row r="35" ht="56" customHeight="1">
      <x:c r="A35" s="29" t="str">
        <x:v>B</x:v>
      </x:c>
      <x:c r="B35" s="29" t="str">
        <x:v>個別フィード</x:v>
      </x:c>
      <x:c r="C35" s="29" t="str">
        <x:v>F027</x:v>
      </x:c>
      <x:c r="D35" s="29" t="str">
        <x:v>目黒区</x:v>
      </x:c>
      <x:c r="E35" s="29" t="str">
        <x:v>さんまバス</x:v>
      </x:c>
      <x:c r="F35" s="29" t="str">
        <x:v>ODPT利用登録・キー</x:v>
      </x:c>
      <x:c r="G35" s="32" t="n">
        <x:v>46295</x:v>
      </x:c>
      <x:c r="H35" s="29" t="str">
        <x:v>認証／利用条件／部分収録／ライセンス確認が必要</x:v>
      </x:c>
      <x:c r="I35" s="29" t="str">
        <x:v>利用登録・規約確認または収録範囲照合後にA工程へ</x:v>
      </x:c>
      <x:c r="J35" s="29" t="str">
        <x:v>ODPT利用規約</x:v>
      </x:c>
      <x:c r="K35" s="29" t="str">
        <x:v>取得権限とroute_id対応表が確定</x:v>
      </x:c>
      <x:c r="L35" s="34" t="str">
        <x:v>https://api.odpt.org/api/v4/files/odpt/TokyuBus/tokyubus_community_MeguroCity.zip?acl%3AconsumerKey=&amp;date=current</x:v>
      </x:c>
    </x:row>
    <x:row r="36" ht="56" customHeight="1">
      <x:c r="A36" s="29" t="str">
        <x:v>B</x:v>
      </x:c>
      <x:c r="B36" s="29" t="str">
        <x:v>個別フィード</x:v>
      </x:c>
      <x:c r="C36" s="29" t="str">
        <x:v>F031</x:v>
      </x:c>
      <x:c r="D36" s="29" t="str">
        <x:v>豊島区</x:v>
      </x:c>
      <x:c r="E36" s="29" t="str">
        <x:v>IKEBUS</x:v>
      </x:c>
      <x:c r="F36" s="29" t="str">
        <x:v>PTD-HS利用条件確認</x:v>
      </x:c>
      <x:c r="G36" s="32" t="n">
        <x:v>46598</x:v>
      </x:c>
      <x:c r="H36" s="29" t="str">
        <x:v>認証／利用条件／部分収録／ライセンス確認が必要</x:v>
      </x:c>
      <x:c r="I36" s="29" t="str">
        <x:v>利用登録・規約確認または収録範囲照合後にA工程へ</x:v>
      </x:c>
      <x:c r="J36" s="29" t="str">
        <x:v>PTD-HS条件確認</x:v>
      </x:c>
      <x:c r="K36" s="29" t="str">
        <x:v>取得権限とroute_id対応表が確定</x:v>
      </x:c>
      <x:c r="L36" s="34" t="str">
        <x:v>https://bustime.jp/GtfsAgency/gtfs_list/</x:v>
      </x:c>
    </x:row>
    <x:row r="37" ht="56" customHeight="1">
      <x:c r="A37" s="29" t="str">
        <x:v>C</x:v>
      </x:c>
      <x:c r="B37" s="29" t="str">
        <x:v>データ未確認サービス</x:v>
      </x:c>
      <x:c r="C37" s="29" t="str">
        <x:v>S063</x:v>
      </x:c>
      <x:c r="D37" s="29" t="str">
        <x:v>あきる野市</x:v>
      </x:c>
      <x:c r="E37" s="29" t="str">
        <x:v>チョイソコあきる野</x:v>
      </x:c>
      <x:c r="F37" s="29" t="str">
        <x:v>公式ページ・時刻表調査</x:v>
      </x:c>
      <x:c r="G37" s="32"/>
      <x:c r="H37" s="29" t="str">
        <x:v>アプリ取込可能な公開GTFSを確認できていない</x:v>
      </x:c>
      <x:c r="I37" s="29" t="str">
        <x:v>自治体・運行事業者へGTFS公開有無と二次利用条件を確認</x:v>
      </x:c>
      <x:c r="J37" s="29" t="str">
        <x:v>停留所座標・路線形状・時刻表の利用許諾</x:v>
      </x:c>
      <x:c r="K37" s="29" t="str">
        <x:v>現行データの取得方法と更新責任者が確定</x:v>
      </x:c>
      <x:c r="L37" s="34" t="str">
        <x:v>https://www.city.akiruno.tokyo.jp/category/1-13-3-0-0-0-0-0-0-0.html</x:v>
      </x:c>
    </x:row>
    <x:row r="38" ht="56" customHeight="1">
      <x:c r="A38" s="29" t="str">
        <x:v>C</x:v>
      </x:c>
      <x:c r="B38" s="29" t="str">
        <x:v>データ未確認サービス</x:v>
      </x:c>
      <x:c r="C38" s="29" t="str">
        <x:v>S034</x:v>
      </x:c>
      <x:c r="D38" s="29" t="str">
        <x:v>三鷹市</x:v>
      </x:c>
      <x:c r="E38" s="29" t="str">
        <x:v>井のバス</x:v>
      </x:c>
      <x:c r="F38" s="29" t="str">
        <x:v>公式ページ・時刻表調査</x:v>
      </x:c>
      <x:c r="G38" s="32"/>
      <x:c r="H38" s="29" t="str">
        <x:v>アプリ取込可能な公開GTFSを確認できていない</x:v>
      </x:c>
      <x:c r="I38" s="29" t="str">
        <x:v>自治体・運行事業者へGTFS公開有無と二次利用条件を確認</x:v>
      </x:c>
      <x:c r="J38" s="29" t="str">
        <x:v>停留所座標・路線形状・時刻表の利用許諾</x:v>
      </x:c>
      <x:c r="K38" s="29" t="str">
        <x:v>現行データの取得方法と更新責任者が確定</x:v>
      </x:c>
      <x:c r="L38" s="34" t="str">
        <x:v>https://www.city.mitaka.lg.jp/c_categories/index01005001.html</x:v>
      </x:c>
    </x:row>
    <x:row r="39" ht="56" customHeight="1">
      <x:c r="A39" s="29" t="str">
        <x:v>C</x:v>
      </x:c>
      <x:c r="B39" s="29" t="str">
        <x:v>データ未確認サービス</x:v>
      </x:c>
      <x:c r="C39" s="29" t="str">
        <x:v>S035</x:v>
      </x:c>
      <x:c r="D39" s="29" t="str">
        <x:v>三鷹市</x:v>
      </x:c>
      <x:c r="E39" s="29" t="str">
        <x:v>大沢めぐり号、ほたる号</x:v>
      </x:c>
      <x:c r="F39" s="29" t="str">
        <x:v>公式ページ・時刻表調査</x:v>
      </x:c>
      <x:c r="G39" s="32"/>
      <x:c r="H39" s="29" t="str">
        <x:v>アプリ取込可能な公開GTFSを確認できていない</x:v>
      </x:c>
      <x:c r="I39" s="29" t="str">
        <x:v>自治体・運行事業者へGTFS公開有無と二次利用条件を確認</x:v>
      </x:c>
      <x:c r="J39" s="29" t="str">
        <x:v>停留所座標・路線形状・時刻表の利用許諾</x:v>
      </x:c>
      <x:c r="K39" s="29" t="str">
        <x:v>現行データの取得方法と更新責任者が確定</x:v>
      </x:c>
      <x:c r="L39" s="34" t="str">
        <x:v>https://www.city.mitaka.lg.jp/c_categories/index01005001.html</x:v>
      </x:c>
    </x:row>
    <x:row r="40" ht="56" customHeight="1">
      <x:c r="A40" s="29" t="str">
        <x:v>C</x:v>
      </x:c>
      <x:c r="B40" s="29" t="str">
        <x:v>データ未確認サービス</x:v>
      </x:c>
      <x:c r="C40" s="29" t="str">
        <x:v>S011</x:v>
      </x:c>
      <x:c r="D40" s="29" t="str">
        <x:v>世田谷区</x:v>
      </x:c>
      <x:c r="E40" s="29" t="str">
        <x:v>砧・大蔵地区予約制乗合ワゴン実証運行</x:v>
      </x:c>
      <x:c r="F40" s="29" t="str">
        <x:v>公式ページ・時刻表調査</x:v>
      </x:c>
      <x:c r="G40" s="32"/>
      <x:c r="H40" s="29" t="str">
        <x:v>アプリ取込可能な公開GTFSを確認できていない</x:v>
      </x:c>
      <x:c r="I40" s="29" t="str">
        <x:v>自治体・運行事業者へGTFS公開有無と二次利用条件を確認</x:v>
      </x:c>
      <x:c r="J40" s="29" t="str">
        <x:v>停留所座標・路線形状・時刻表の利用許諾</x:v>
      </x:c>
      <x:c r="K40" s="29" t="str">
        <x:v>現行データの取得方法と更新責任者が確定</x:v>
      </x:c>
      <x:c r="L40" s="34" t="str">
        <x:v>https://www.city.setagaya.lg.jp/mokuji/sumai/007/001/index.html</x:v>
      </x:c>
    </x:row>
    <x:row r="41" ht="56" customHeight="1">
      <x:c r="A41" s="29" t="str">
        <x:v>C</x:v>
      </x:c>
      <x:c r="B41" s="29" t="str">
        <x:v>データ未確認サービス</x:v>
      </x:c>
      <x:c r="C41" s="29" t="str">
        <x:v>S007</x:v>
      </x:c>
      <x:c r="D41" s="29" t="str">
        <x:v>墨田区</x:v>
      </x:c>
      <x:c r="E41" s="29" t="str">
        <x:v>墨田区内循環バス「すみだ百景 すみまるくん・すみりんちゃん」</x:v>
      </x:c>
      <x:c r="F41" s="29" t="str">
        <x:v>公式ページ・時刻表調査</x:v>
      </x:c>
      <x:c r="G41" s="32"/>
      <x:c r="H41" s="29" t="str">
        <x:v>アプリ取込可能な公開GTFSを確認できていない</x:v>
      </x:c>
      <x:c r="I41" s="29" t="str">
        <x:v>自治体・運行事業者へGTFS公開有無と二次利用条件を確認</x:v>
      </x:c>
      <x:c r="J41" s="29" t="str">
        <x:v>停留所座標・路線形状・時刻表の利用許諾</x:v>
      </x:c>
      <x:c r="K41" s="29" t="str">
        <x:v>現行データの取得方法と更新責任者が確定</x:v>
      </x:c>
      <x:c r="L41" s="34" t="str">
        <x:v>https://www.city.sumida.lg.jp/kurashi/jyunkanbus/index.html</x:v>
      </x:c>
    </x:row>
    <x:row r="42" ht="56" customHeight="1">
      <x:c r="A42" s="29" t="str">
        <x:v>C</x:v>
      </x:c>
      <x:c r="B42" s="29" t="str">
        <x:v>データ未確認サービス</x:v>
      </x:c>
      <x:c r="C42" s="29" t="str">
        <x:v>S046</x:v>
      </x:c>
      <x:c r="D42" s="29" t="str">
        <x:v>小平市</x:v>
      </x:c>
      <x:c r="E42" s="29" t="str">
        <x:v>ぶるべー号</x:v>
      </x:c>
      <x:c r="F42" s="29" t="str">
        <x:v>公式ページ・時刻表調査</x:v>
      </x:c>
      <x:c r="G42" s="32"/>
      <x:c r="H42" s="29" t="str">
        <x:v>アプリ取込可能な公開GTFSを確認できていない</x:v>
      </x:c>
      <x:c r="I42" s="29" t="str">
        <x:v>自治体・運行事業者へGTFS公開有無と二次利用条件を確認</x:v>
      </x:c>
      <x:c r="J42" s="29" t="str">
        <x:v>停留所座標・路線形状・時刻表の利用許諾</x:v>
      </x:c>
      <x:c r="K42" s="29" t="str">
        <x:v>現行データの取得方法と更新責任者が確定</x:v>
      </x:c>
      <x:c r="L42" s="34" t="str">
        <x:v>https://www.city.kodaira.tokyo.jp/kurashi/026/026920.html</x:v>
      </x:c>
    </x:row>
    <x:row r="43" ht="56" customHeight="1">
      <x:c r="A43" s="29" t="str">
        <x:v>C</x:v>
      </x:c>
      <x:c r="B43" s="29" t="str">
        <x:v>データ未確認サービス</x:v>
      </x:c>
      <x:c r="C43" s="29" t="str">
        <x:v>S068</x:v>
      </x:c>
      <x:c r="D43" s="29" t="str">
        <x:v>新島村</x:v>
      </x:c>
      <x:c r="E43" s="29" t="str">
        <x:v>ふれあいバス</x:v>
      </x:c>
      <x:c r="F43" s="29" t="str">
        <x:v>公式ページ・時刻表調査</x:v>
      </x:c>
      <x:c r="G43" s="32"/>
      <x:c r="H43" s="29" t="str">
        <x:v>アプリ取込可能な公開GTFSを確認できていない</x:v>
      </x:c>
      <x:c r="I43" s="29" t="str">
        <x:v>自治体・運行事業者へGTFS公開有無と二次利用条件を確認</x:v>
      </x:c>
      <x:c r="J43" s="29" t="str">
        <x:v>停留所座標・路線形状・時刻表の利用許諾</x:v>
      </x:c>
      <x:c r="K43" s="29" t="str">
        <x:v>現行データの取得方法と更新責任者が確定</x:v>
      </x:c>
      <x:c r="L43" s="34" t="str"/>
    </x:row>
    <x:row r="44" ht="56" customHeight="1">
      <x:c r="A44" s="29" t="str">
        <x:v>C</x:v>
      </x:c>
      <x:c r="B44" s="29" t="str">
        <x:v>データ未確認サービス</x:v>
      </x:c>
      <x:c r="C44" s="29" t="str">
        <x:v>S048</x:v>
      </x:c>
      <x:c r="D44" s="29" t="str">
        <x:v>日野市</x:v>
      </x:c>
      <x:c r="E44" s="29" t="str">
        <x:v>丘陵地ワゴンタクシー かわせみゴー</x:v>
      </x:c>
      <x:c r="F44" s="29" t="str">
        <x:v>公式ページ・時刻表調査</x:v>
      </x:c>
      <x:c r="G44" s="32"/>
      <x:c r="H44" s="29" t="str">
        <x:v>アプリ取込可能な公開GTFSを確認できていない</x:v>
      </x:c>
      <x:c r="I44" s="29" t="str">
        <x:v>自治体・運行事業者へGTFS公開有無と二次利用条件を確認</x:v>
      </x:c>
      <x:c r="J44" s="29" t="str">
        <x:v>停留所座標・路線形状・時刻表の利用許諾</x:v>
      </x:c>
      <x:c r="K44" s="29" t="str">
        <x:v>現行データの取得方法と更新責任者が確定</x:v>
      </x:c>
      <x:c r="L44" s="34" t="str">
        <x:v>https://www.city.hino.lg.jp/shisei/machidukuri/kotsu/kaigi/1011755.html</x:v>
      </x:c>
    </x:row>
    <x:row r="45" ht="56" customHeight="1">
      <x:c r="A45" s="29" t="str">
        <x:v>C</x:v>
      </x:c>
      <x:c r="B45" s="29" t="str">
        <x:v>データ未確認サービス</x:v>
      </x:c>
      <x:c r="C45" s="29" t="str">
        <x:v>S037</x:v>
      </x:c>
      <x:c r="D45" s="29" t="str">
        <x:v>昭島市</x:v>
      </x:c>
      <x:c r="E45" s="29" t="str">
        <x:v>Ａバス</x:v>
      </x:c>
      <x:c r="F45" s="29" t="str">
        <x:v>公式ページ・時刻表調査</x:v>
      </x:c>
      <x:c r="G45" s="32"/>
      <x:c r="H45" s="29" t="str">
        <x:v>アプリ取込可能な公開GTFSを確認できていない</x:v>
      </x:c>
      <x:c r="I45" s="29" t="str">
        <x:v>自治体・運行事業者へGTFS公開有無と二次利用条件を確認</x:v>
      </x:c>
      <x:c r="J45" s="29" t="str">
        <x:v>停留所座標・路線形状・時刻表の利用許諾</x:v>
      </x:c>
      <x:c r="K45" s="29" t="str">
        <x:v>現行データの取得方法と更新責任者が確定</x:v>
      </x:c>
      <x:c r="L45" s="34" t="str">
        <x:v>https://www.city.akishima.lg.jp/s080/060/010/121/20140821141206.html</x:v>
      </x:c>
    </x:row>
    <x:row r="46" ht="56" customHeight="1">
      <x:c r="A46" s="29" t="str">
        <x:v>C</x:v>
      </x:c>
      <x:c r="B46" s="29" t="str">
        <x:v>データ未確認サービス</x:v>
      </x:c>
      <x:c r="C46" s="29" t="str">
        <x:v>S056</x:v>
      </x:c>
      <x:c r="D46" s="29" t="str">
        <x:v>東久留米市</x:v>
      </x:c>
      <x:c r="E46" s="29" t="str">
        <x:v>東久留米市 デマンド型交通 「くるぶー」</x:v>
      </x:c>
      <x:c r="F46" s="29" t="str">
        <x:v>公式ページ・時刻表調査</x:v>
      </x:c>
      <x:c r="G46" s="32"/>
      <x:c r="H46" s="29" t="str">
        <x:v>アプリ取込可能な公開GTFSを確認できていない</x:v>
      </x:c>
      <x:c r="I46" s="29" t="str">
        <x:v>自治体・運行事業者へGTFS公開有無と二次利用条件を確認</x:v>
      </x:c>
      <x:c r="J46" s="29" t="str">
        <x:v>停留所座標・路線形状・時刻表の利用許諾</x:v>
      </x:c>
      <x:c r="K46" s="29" t="str">
        <x:v>現行データの取得方法と更新責任者が確定</x:v>
      </x:c>
      <x:c r="L46" s="34" t="str">
        <x:v>https://www.city.higashikurume.lg.jp/kurashi/kurashi/1014874/index.html</x:v>
      </x:c>
    </x:row>
    <x:row r="47" ht="56" customHeight="1">
      <x:c r="A47" s="29" t="str">
        <x:v>C</x:v>
      </x:c>
      <x:c r="B47" s="29" t="str">
        <x:v>データ未確認サービス</x:v>
      </x:c>
      <x:c r="C47" s="29" t="str">
        <x:v>S067</x:v>
      </x:c>
      <x:c r="D47" s="29" t="str">
        <x:v>檜原村</x:v>
      </x:c>
      <x:c r="E47" s="29" t="str">
        <x:v>やまびこ</x:v>
      </x:c>
      <x:c r="F47" s="29" t="str">
        <x:v>公式ページ・時刻表調査</x:v>
      </x:c>
      <x:c r="G47" s="32"/>
      <x:c r="H47" s="29" t="str">
        <x:v>アプリ取込可能な公開GTFSを確認できていない</x:v>
      </x:c>
      <x:c r="I47" s="29" t="str">
        <x:v>自治体・運行事業者へGTFS公開有無と二次利用条件を確認</x:v>
      </x:c>
      <x:c r="J47" s="29" t="str">
        <x:v>停留所座標・路線形状・時刻表の利用許諾</x:v>
      </x:c>
      <x:c r="K47" s="29" t="str">
        <x:v>現行データの取得方法と更新責任者が確定</x:v>
      </x:c>
      <x:c r="L47" s="34" t="str">
        <x:v>https://www.vill.hinohara.tokyo.jp/category/1-5-4-0-0.html</x:v>
      </x:c>
    </x:row>
    <x:row r="48" ht="56" customHeight="1">
      <x:c r="A48" s="29" t="str">
        <x:v>C</x:v>
      </x:c>
      <x:c r="B48" s="29" t="str">
        <x:v>データ未確認サービス</x:v>
      </x:c>
      <x:c r="C48" s="29" t="str">
        <x:v>S057</x:v>
      </x:c>
      <x:c r="D48" s="29" t="str">
        <x:v>武蔵村山市</x:v>
      </x:c>
      <x:c r="E48" s="29" t="str">
        <x:v>MMシャトル</x:v>
      </x:c>
      <x:c r="F48" s="29" t="str">
        <x:v>公式ページ・時刻表調査</x:v>
      </x:c>
      <x:c r="G48" s="32"/>
      <x:c r="H48" s="29" t="str">
        <x:v>アプリ取込可能な公開GTFSを確認できていない</x:v>
      </x:c>
      <x:c r="I48" s="29" t="str">
        <x:v>自治体・運行事業者へGTFS公開有無と二次利用条件を確認</x:v>
      </x:c>
      <x:c r="J48" s="29" t="str">
        <x:v>停留所座標・路線形状・時刻表の利用許諾</x:v>
      </x:c>
      <x:c r="K48" s="29" t="str">
        <x:v>現行データの取得方法と更新責任者が確定</x:v>
      </x:c>
      <x:c r="L48" s="34" t="str">
        <x:v>https://www.city.musashimurayama.lg.jp/kurashi/koutsu/koukyoukoutu/index.html</x:v>
      </x:c>
    </x:row>
    <x:row r="49" ht="56" customHeight="1">
      <x:c r="A49" s="29" t="str">
        <x:v>C</x:v>
      </x:c>
      <x:c r="B49" s="29" t="str">
        <x:v>データ未確認サービス</x:v>
      </x:c>
      <x:c r="C49" s="29" t="str">
        <x:v>S058</x:v>
      </x:c>
      <x:c r="D49" s="29" t="str">
        <x:v>武蔵村山市</x:v>
      </x:c>
      <x:c r="E49" s="29" t="str">
        <x:v>むらタク</x:v>
      </x:c>
      <x:c r="F49" s="29" t="str">
        <x:v>公式ページ・時刻表調査</x:v>
      </x:c>
      <x:c r="G49" s="32"/>
      <x:c r="H49" s="29" t="str">
        <x:v>アプリ取込可能な公開GTFSを確認できていない</x:v>
      </x:c>
      <x:c r="I49" s="29" t="str">
        <x:v>自治体・運行事業者へGTFS公開有無と二次利用条件を確認</x:v>
      </x:c>
      <x:c r="J49" s="29" t="str">
        <x:v>停留所座標・路線形状・時刻表の利用許諾</x:v>
      </x:c>
      <x:c r="K49" s="29" t="str">
        <x:v>現行データの取得方法と更新責任者が確定</x:v>
      </x:c>
      <x:c r="L49" s="34" t="str">
        <x:v>https://www.city.musashimurayama.lg.jp/kurashi/koutsu/koukyoukoutu/index.html</x:v>
      </x:c>
    </x:row>
    <x:row r="50" ht="56" customHeight="1">
      <x:c r="A50" s="29" t="str">
        <x:v>C</x:v>
      </x:c>
      <x:c r="B50" s="29" t="str">
        <x:v>データ未確認サービス</x:v>
      </x:c>
      <x:c r="C50" s="29" t="str">
        <x:v>S020</x:v>
      </x:c>
      <x:c r="D50" s="29" t="str">
        <x:v>荒川区</x:v>
      </x:c>
      <x:c r="E50" s="29" t="str">
        <x:v>汐入さくら</x:v>
      </x:c>
      <x:c r="F50" s="29" t="str">
        <x:v>公式ページ・時刻表調査</x:v>
      </x:c>
      <x:c r="G50" s="32"/>
      <x:c r="H50" s="29" t="str">
        <x:v>アプリ取込可能な公開GTFSを確認できていない</x:v>
      </x:c>
      <x:c r="I50" s="29" t="str">
        <x:v>自治体・運行事業者へGTFS公開有無と二次利用条件を確認</x:v>
      </x:c>
      <x:c r="J50" s="29" t="str">
        <x:v>停留所座標・路線形状・時刻表の利用許諾</x:v>
      </x:c>
      <x:c r="K50" s="29" t="str">
        <x:v>現行データの取得方法と更新責任者が確定</x:v>
      </x:c>
      <x:c r="L50" s="34" t="str">
        <x:v>https://www.city.arakawa.tokyo.jp/a040/koutsuu-bus/komyuniteibasu/sakura.html</x:v>
      </x:c>
    </x:row>
    <x:row r="51" ht="56" customHeight="1">
      <x:c r="A51" s="29" t="str">
        <x:v>C</x:v>
      </x:c>
      <x:c r="B51" s="29" t="str">
        <x:v>データ未確認サービス</x:v>
      </x:c>
      <x:c r="C51" s="29" t="str">
        <x:v>S026</x:v>
      </x:c>
      <x:c r="D51" s="29" t="str">
        <x:v>葛飾区</x:v>
      </x:c>
      <x:c r="E51" s="29" t="str">
        <x:v>細田循環バス</x:v>
      </x:c>
      <x:c r="F51" s="29" t="str">
        <x:v>公式ページ・時刻表調査</x:v>
      </x:c>
      <x:c r="G51" s="32"/>
      <x:c r="H51" s="29" t="str">
        <x:v>アプリ取込可能な公開GTFSを確認できていない</x:v>
      </x:c>
      <x:c r="I51" s="29" t="str">
        <x:v>自治体・運行事業者へGTFS公開有無と二次利用条件を確認</x:v>
      </x:c>
      <x:c r="J51" s="29" t="str">
        <x:v>停留所座標・路線形状・時刻表の利用許諾</x:v>
      </x:c>
      <x:c r="K51" s="29" t="str">
        <x:v>現行データの取得方法と更新責任者が確定</x:v>
      </x:c>
      <x:c r="L51" s="34" t="str">
        <x:v>https://www.city.katsushika.lg.jp/planning/1030243/1003616/index.html</x:v>
      </x:c>
    </x:row>
    <x:row r="52" ht="56" customHeight="1">
      <x:c r="A52" s="29" t="str">
        <x:v>C</x:v>
      </x:c>
      <x:c r="B52" s="29" t="str">
        <x:v>データ未確認サービス</x:v>
      </x:c>
      <x:c r="C52" s="29" t="str">
        <x:v>S039</x:v>
      </x:c>
      <x:c r="D52" s="29" t="str">
        <x:v>調布市</x:v>
      </x:c>
      <x:c r="E52" s="29" t="str">
        <x:v>のるーと調布</x:v>
      </x:c>
      <x:c r="F52" s="29" t="str">
        <x:v>公式ページ・時刻表調査</x:v>
      </x:c>
      <x:c r="G52" s="32"/>
      <x:c r="H52" s="29" t="str">
        <x:v>アプリ取込可能な公開GTFSを確認できていない</x:v>
      </x:c>
      <x:c r="I52" s="29" t="str">
        <x:v>自治体・運行事業者へGTFS公開有無と二次利用条件を確認</x:v>
      </x:c>
      <x:c r="J52" s="29" t="str">
        <x:v>停留所座標・路線形状・時刻表の利用許諾</x:v>
      </x:c>
      <x:c r="K52" s="29" t="str">
        <x:v>現行データの取得方法と更新責任者が確定</x:v>
      </x:c>
      <x:c r="L52" s="34" t="str">
        <x:v>https://www.city.chofu.lg.jp/080070/p050067.html</x:v>
      </x:c>
    </x:row>
    <x:row r="53" ht="56" customHeight="1">
      <x:c r="A53" s="29" t="str">
        <x:v>C</x:v>
      </x:c>
      <x:c r="B53" s="29" t="str">
        <x:v>データ未確認サービス</x:v>
      </x:c>
      <x:c r="C53" s="29" t="str">
        <x:v>S017</x:v>
      </x:c>
      <x:c r="D53" s="29" t="str">
        <x:v>豊島区</x:v>
      </x:c>
      <x:c r="E53" s="29" t="str">
        <x:v>mobi＜AIオンデマンド交通＞（実証運行）</x:v>
      </x:c>
      <x:c r="F53" s="29" t="str">
        <x:v>公式ページ・時刻表調査</x:v>
      </x:c>
      <x:c r="G53" s="32"/>
      <x:c r="H53" s="29" t="str">
        <x:v>アプリ取込可能な公開GTFSを確認できていない</x:v>
      </x:c>
      <x:c r="I53" s="29" t="str">
        <x:v>自治体・運行事業者へGTFS公開有無と二次利用条件を確認</x:v>
      </x:c>
      <x:c r="J53" s="29" t="str">
        <x:v>停留所座標・路線形状・時刻表の利用許諾</x:v>
      </x:c>
      <x:c r="K53" s="29" t="str">
        <x:v>現行データの取得方法と更新責任者が確定</x:v>
      </x:c>
      <x:c r="L53" s="34" t="str">
        <x:v>https://www.city.toshima.lg.jp/machizukuri/kotsu/2203081526.html</x:v>
      </x:c>
    </x:row>
    <x:row r="54" ht="56" customHeight="1">
      <x:c r="A54" s="29" t="str">
        <x:v>C</x:v>
      </x:c>
      <x:c r="B54" s="29" t="str">
        <x:v>データ未確認サービス</x:v>
      </x:c>
      <x:c r="C54" s="29" t="str">
        <x:v>S015</x:v>
      </x:c>
      <x:c r="D54" s="29" t="str">
        <x:v>豊島区</x:v>
      </x:c>
      <x:c r="E54" s="29" t="str">
        <x:v>地域公共バス</x:v>
      </x:c>
      <x:c r="F54" s="29" t="str">
        <x:v>公式ページ・時刻表調査</x:v>
      </x:c>
      <x:c r="G54" s="32"/>
      <x:c r="H54" s="29" t="str">
        <x:v>アプリ取込可能な公開GTFSを確認できていない</x:v>
      </x:c>
      <x:c r="I54" s="29" t="str">
        <x:v>自治体・運行事業者へGTFS公開有無と二次利用条件を確認</x:v>
      </x:c>
      <x:c r="J54" s="29" t="str">
        <x:v>停留所座標・路線形状・時刻表の利用許諾</x:v>
      </x:c>
      <x:c r="K54" s="29" t="str">
        <x:v>現行データの取得方法と更新責任者が確定</x:v>
      </x:c>
      <x:c r="L54" s="34" t="str">
        <x:v>https://www.city.toshima.lg.jp/machizukuri/kotsu/2203081526.html</x:v>
      </x:c>
    </x:row>
    <x:row r="55" ht="56" customHeight="1">
      <x:c r="A55" s="29" t="str">
        <x:v>C</x:v>
      </x:c>
      <x:c r="B55" s="29" t="str">
        <x:v>データ未確認サービス</x:v>
      </x:c>
      <x:c r="C55" s="29" t="str">
        <x:v>S024</x:v>
      </x:c>
      <x:c r="D55" s="29" t="str">
        <x:v>足立区</x:v>
      </x:c>
      <x:c r="E55" s="29" t="str">
        <x:v>はるかぜ</x:v>
      </x:c>
      <x:c r="F55" s="29" t="str">
        <x:v>公式ページ・時刻表調査</x:v>
      </x:c>
      <x:c r="G55" s="32"/>
      <x:c r="H55" s="29" t="str">
        <x:v>アプリ取込可能な公開GTFSを確認できていない</x:v>
      </x:c>
      <x:c r="I55" s="29" t="str">
        <x:v>自治体・運行事業者へGTFS公開有無と二次利用条件を確認</x:v>
      </x:c>
      <x:c r="J55" s="29" t="str">
        <x:v>停留所座標・路線形状・時刻表の利用許諾</x:v>
      </x:c>
      <x:c r="K55" s="29" t="str">
        <x:v>現行データの取得方法と更新責任者が確定</x:v>
      </x:c>
      <x:c r="L55" s="34" t="str">
        <x:v>https://www.city.adachi.tokyo.jp/machi/kotsu/index.html</x:v>
      </x:c>
    </x:row>
    <x:row r="56" ht="56" customHeight="1">
      <x:c r="A56" s="29" t="str">
        <x:v>C</x:v>
      </x:c>
      <x:c r="B56" s="29" t="str">
        <x:v>データ未確認サービス</x:v>
      </x:c>
      <x:c r="C56" s="29" t="str">
        <x:v>S025</x:v>
      </x:c>
      <x:c r="D56" s="29" t="str">
        <x:v>足立区</x:v>
      </x:c>
      <x:c r="E56" s="29" t="str">
        <x:v>ブンブン号</x:v>
      </x:c>
      <x:c r="F56" s="29" t="str">
        <x:v>公式ページ・時刻表調査</x:v>
      </x:c>
      <x:c r="G56" s="32"/>
      <x:c r="H56" s="29" t="str">
        <x:v>アプリ取込可能な公開GTFSを確認できていない</x:v>
      </x:c>
      <x:c r="I56" s="29" t="str">
        <x:v>自治体・運行事業者へGTFS公開有無と二次利用条件を確認</x:v>
      </x:c>
      <x:c r="J56" s="29" t="str">
        <x:v>停留所座標・路線形状・時刻表の利用許諾</x:v>
      </x:c>
      <x:c r="K56" s="29" t="str">
        <x:v>現行データの取得方法と更新責任者が確定</x:v>
      </x:c>
      <x:c r="L56" s="34" t="str">
        <x:v>https://www.city.adachi.tokyo.jp/machi/kotsu/index.html</x:v>
      </x:c>
    </x:row>
    <x:row r="57" ht="56" customHeight="1">
      <x:c r="A57" s="29" t="str">
        <x:v>C</x:v>
      </x:c>
      <x:c r="B57" s="29" t="str">
        <x:v>事業者包括GTFS</x:v>
      </x:c>
      <x:c r="C57" s="29" t="str">
        <x:v>OP003</x:v>
      </x:c>
      <x:c r="D57" s="29" t="str">
        <x:v>複数自治体</x:v>
      </x:c>
      <x:c r="E57" s="29" t="str">
        <x:v>関東バス</x:v>
      </x:c>
      <x:c r="F57" s="29" t="str">
        <x:v>ODPT利用登録・キー</x:v>
      </x:c>
      <x:c r="G57" s="32" t="n">
        <x:v>46229</x:v>
      </x:c>
      <x:c r="H57" s="29" t="str">
        <x:v>期限切れ・現行版確認が必要</x:v>
      </x:c>
      <x:c r="I57" s="29" t="str">
        <x:v>候補サービスのroutes.txtを抽出し、自治体サービスとの対応表を作成</x:v>
      </x:c>
      <x:c r="J57" s="29" t="str">
        <x:v>ODPT利用規約</x:v>
      </x:c>
      <x:c r="K57" s="29" t="str">
        <x:v>対象route_idホワイトリストがレビュー済み</x:v>
      </x:c>
      <x:c r="L57" s="34" t="str">
        <x:v>https://api.odpt.org/api/v4/files/odpt/KantoBus/AllLines.zip?acl%3AconsumerKey=&amp;date=current</x:v>
      </x:c>
    </x:row>
    <x:row r="58" ht="56" customHeight="1">
      <x:c r="A58" s="29" t="str">
        <x:v>C</x:v>
      </x:c>
      <x:c r="B58" s="29" t="str">
        <x:v>個別フィード</x:v>
      </x:c>
      <x:c r="C58" s="29" t="str">
        <x:v>F019</x:v>
      </x:c>
      <x:c r="D58" s="29" t="str">
        <x:v>瑞穂町</x:v>
      </x:c>
      <x:c r="E58" s="29" t="str">
        <x:v>チョイソコみずほまち（GTFS Flex）</x:v>
      </x:c>
      <x:c r="F58" s="29" t="str">
        <x:v>公開・キー不要</x:v>
      </x:c>
      <x:c r="G58" s="32" t="n">
        <x:v>46295</x:v>
      </x:c>
      <x:c r="H58" s="29" t="str">
        <x:v>予約・Flex対応が必要</x:v>
      </x:c>
      <x:c r="I58" s="29" t="str">
        <x:v>予約型UI・現行データ入手・自治体照会を先行</x:v>
      </x:c>
      <x:c r="J58" s="29" t="str">
        <x:v>CC BY 4.0</x:v>
      </x:c>
      <x:c r="K58" s="29" t="str">
        <x:v>現行データと予約方式を仕様化</x:v>
      </x:c>
      <x:c r="L58" s="34" t="str">
        <x:v>https://api.gtfs-data.jp/v2/organizations/mizuhotown/feeds/DemandResponsiveTransport/files/feed.zip</x:v>
      </x:c>
    </x:row>
    <x:row r="59" ht="56" customHeight="1">
      <x:c r="A59" s="29" t="str">
        <x:v>C</x:v>
      </x:c>
      <x:c r="B59" s="29" t="str">
        <x:v>個別フィード</x:v>
      </x:c>
      <x:c r="C59" s="29" t="str">
        <x:v>F017</x:v>
      </x:c>
      <x:c r="D59" s="29" t="str">
        <x:v>稲城市</x:v>
      </x:c>
      <x:c r="E59" s="29" t="str">
        <x:v>iバス</x:v>
      </x:c>
      <x:c r="F59" s="29" t="str">
        <x:v>公開・キー不要</x:v>
      </x:c>
      <x:c r="G59" s="32" t="n">
        <x:v>45747</x:v>
      </x:c>
      <x:c r="H59" s="29" t="str">
        <x:v>サービス確認は必要だが個別フィードが期限切れ</x:v>
      </x:c>
      <x:c r="I59" s="29" t="str">
        <x:v>予約型UI・現行データ入手・自治体照会を先行</x:v>
      </x:c>
      <x:c r="J59" s="29" t="str">
        <x:v>CC BY 4.0</x:v>
      </x:c>
      <x:c r="K59" s="29" t="str">
        <x:v>現行データと予約方式を仕様化</x:v>
      </x:c>
      <x:c r="L59" s="34" t="str">
        <x:v>https://api-public.odpt.org/api/v4/files/odpt/InagiCity/ibas_A_course.zip?date=current</x:v>
      </x:c>
    </x:row>
    <x:row r="60" ht="56" customHeight="1">
      <x:c r="A60" s="29" t="str">
        <x:v>C</x:v>
      </x:c>
      <x:c r="B60" s="29" t="str">
        <x:v>個別フィード</x:v>
      </x:c>
      <x:c r="C60" s="29" t="str">
        <x:v>F009</x:v>
      </x:c>
      <x:c r="D60" s="29" t="str">
        <x:v>葛飾区</x:v>
      </x:c>
      <x:c r="E60" s="29" t="str">
        <x:v>地域乗合タクシーさくら</x:v>
      </x:c>
      <x:c r="F60" s="29" t="str">
        <x:v>公開・キー不要</x:v>
      </x:c>
      <x:c r="G60" s="32" t="n">
        <x:v>46387</x:v>
      </x:c>
      <x:c r="H60" s="29" t="str">
        <x:v>予約・Flex対応が必要</x:v>
      </x:c>
      <x:c r="I60" s="29" t="str">
        <x:v>予約型UI・現行データ入手・自治体照会を先行</x:v>
      </x:c>
      <x:c r="J60" s="29" t="str">
        <x:v>CC BY 4.0</x:v>
      </x:c>
      <x:c r="K60" s="29" t="str">
        <x:v>現行データと予約方式を仕様化</x:v>
      </x:c>
      <x:c r="L60" s="34" t="str">
        <x:v>https://api.gtfs-data.jp/v2/organizations/katsushikacity/feeds/sakura/files/feed.zip</x:v>
      </x:c>
    </x:row>
    <x:row r="61" ht="56" customHeight="1">
      <x:c r="A61" s="29" t="str">
        <x:v>D</x:v>
      </x:c>
      <x:c r="B61" s="29" t="str">
        <x:v>個別フィード</x:v>
      </x:c>
      <x:c r="C61" s="29" t="str">
        <x:v>F033</x:v>
      </x:c>
      <x:c r="D61" s="29" t="str">
        <x:v>港区</x:v>
      </x:c>
      <x:c r="E61" s="29" t="str">
        <x:v>お台場レインボーバス</x:v>
      </x:c>
      <x:c r="F61" s="29" t="str">
        <x:v>公開・キー不要</x:v>
      </x:c>
      <x:c r="G61" s="32" t="n">
        <x:v>46112</x:v>
      </x:c>
      <x:c r="H61" s="29" t="str">
        <x:v>拡張候補かつフィード期限切れ</x:v>
      </x:c>
      <x:c r="I61" s="29" t="str">
        <x:v>既定対象外。現行再公開を確認するまで保留</x:v>
      </x:c>
      <x:c r="J61" s="29" t="str">
        <x:v>CC0 1.0</x:v>
      </x:c>
      <x:c r="K61" s="29" t="str">
        <x:v>対象範囲の再定義または現行フィード確認</x:v>
      </x:c>
      <x:c r="L61" s="34" t="str">
        <x:v>https://www.km-bus.tokyo/route/odaiba/gtfs_data/GTFS20250401%20%28kmms%29.zip</x:v>
      </x:c>
    </x:row>
  </x:sheetData>
  <x:mergeCells>
    <x:mergeCell ref="A1:L1"/>
    <x:mergeCell ref="A2:L2"/>
  </x:mergeCells>
  <x:conditionalFormatting sqref="A4:A61">
    <x:cfRule type="expression" dxfId="23" priority="1">
      <x:formula>$A4="A"</x:formula>
    </x:cfRule>
    <x:cfRule type="expression" dxfId="24" priority="2">
      <x:formula>$A4="B"</x:formula>
    </x:cfRule>
    <x:cfRule type="expression" dxfId="25" priority="3">
      <x:formula>$A4="C"</x:formula>
    </x:cfRule>
    <x:cfRule type="expression" dxfId="26" priority="4">
      <x:formula>$A4="D"</x:formula>
    </x:cfRule>
  </x:conditionalFormatting>
  <x:dataValidations count="1">
    <x:dataValidation type="list" sqref="A4:A61">
      <x:formula1>"A,B,C,D"</x:formula1>
    </x:dataValidation>
  </x:dataValidations>
  <x:pageMargins left="0.7" right="0.7" top="0.75" bottom="0.75" header="0.3" footer="0.3"/>
  <x:tableParts count="1">
    <x:tablePart xmlns:r="http://schemas.openxmlformats.org/officeDocument/2006/relationships" r:id="Rd29d9ec763d94ec2"/>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9" hidden="0" customWidth="1"/>
    <x:col min="2" max="2" width="10" hidden="0" customWidth="1"/>
    <x:col min="3" max="3" width="12" hidden="0" customWidth="1"/>
    <x:col min="4" max="4" width="24" hidden="0" customWidth="1"/>
    <x:col min="5" max="5" width="13" hidden="0" customWidth="1"/>
    <x:col min="6" max="6" width="48" hidden="0" customWidth="1"/>
    <x:col min="7" max="7" width="25" hidden="0" customWidth="1"/>
    <x:col min="8" max="8" width="20" hidden="0" customWidth="1"/>
    <x:col min="9" max="9" width="24" hidden="0" customWidth="1"/>
    <x:col min="10" max="10" width="50" hidden="0" customWidth="1"/>
    <x:col min="11" max="11" width="12" hidden="0" customWidth="1"/>
    <x:col min="12" max="12" width="12" hidden="0" customWidth="1"/>
    <x:col min="13" max="13" width="12" hidden="0" customWidth="1"/>
    <x:col min="14" max="14" width="34" hidden="0" customWidth="1"/>
    <x:col min="15" max="15" width="12" hidden="0" customWidth="1"/>
    <x:col min="16" max="16" width="12" hidden="0" customWidth="1"/>
    <x:col min="17" max="17" width="34" hidden="0" customWidth="1"/>
    <x:col min="18" max="18" width="48" hidden="0" customWidth="1"/>
  </x:cols>
  <x:sheetData>
    <x:row r="1" ht="30" customHeight="1">
      <x:c r="A1" s="106" t="str">
        <x:v>GTFS 取得・検証スナップショット — 2026-08-22</x:v>
      </x:c>
      <x:c r="B1" s="106"/>
      <x:c r="C1" s="106"/>
      <x:c r="D1" s="106"/>
      <x:c r="E1" s="106"/>
      <x:c r="F1" s="106"/>
      <x:c r="G1" s="106"/>
      <x:c r="H1" s="106"/>
      <x:c r="I1" s="106"/>
      <x:c r="J1" s="106"/>
      <x:c r="K1" s="106"/>
      <x:c r="L1" s="106"/>
      <x:c r="M1" s="106"/>
      <x:c r="N1" s="106"/>
      <x:c r="O1" s="106"/>
      <x:c r="P1" s="106"/>
      <x:c r="Q1" s="106"/>
      <x:c r="R1" s="106"/>
    </x:row>
    <x:row r="2" ht="32" customHeight="1">
      <x:c r="A2" s="110" t="str">
        <x:v>優先度Aの21フィード。外部照合は公開CIの取得記録、本環境直接取得は外向き通信制限により未実行。</x:v>
      </x:c>
      <x:c r="B2" s="110"/>
      <x:c r="C2" s="110"/>
      <x:c r="D2" s="110"/>
      <x:c r="E2" s="110"/>
      <x:c r="F2" s="110"/>
      <x:c r="G2" s="110"/>
      <x:c r="H2" s="110"/>
      <x:c r="I2" s="110"/>
      <x:c r="J2" s="110"/>
      <x:c r="K2" s="110"/>
      <x:c r="L2" s="110"/>
      <x:c r="M2" s="110"/>
      <x:c r="N2" s="110"/>
      <x:c r="O2" s="110"/>
      <x:c r="P2" s="110"/>
      <x:c r="Q2" s="110"/>
      <x:c r="R2" s="110"/>
    </x:row>
    <x:row r="3">
      <x:c r="A3" s="119" t="str">
        <x:v>外部照合済み</x:v>
      </x:c>
      <x:c r="B3" s="123" t="n">
        <x:v>8</x:v>
      </x:c>
      <x:c r="C3" s="119" t="str">
        <x:v>未照合</x:v>
      </x:c>
      <x:c r="D3" s="123" t="n">
        <x:v>13</x:v>
      </x:c>
      <x:c r="E3" s="119" t="str">
        <x:v>直接取得済み</x:v>
      </x:c>
      <x:c r="F3" s="123" t="n">
        <x:v>0</x:v>
      </x:c>
      <x:c r="G3" s="119" t="str">
        <x:v>自動テスト</x:v>
      </x:c>
      <x:c r="H3" s="123" t="str">
        <x:v>5/5 成功</x:v>
      </x:c>
    </x:row>
    <x:row r="5" ht="34" customHeight="1">
      <x:c r="A5" s="115" t="str">
        <x:v>優先度</x:v>
      </x:c>
      <x:c r="B5" s="115" t="str">
        <x:v>Feed ID</x:v>
      </x:c>
      <x:c r="C5" s="115" t="str">
        <x:v>自治体</x:v>
      </x:c>
      <x:c r="D5" s="115" t="str">
        <x:v>サービス</x:v>
      </x:c>
      <x:c r="E5" s="115" t="str">
        <x:v>ライセンス</x:v>
      </x:c>
      <x:c r="F5" s="115" t="str">
        <x:v>設定URL</x:v>
      </x:c>
      <x:c r="G5" s="115" t="str">
        <x:v>本環境直接取得</x:v>
      </x:c>
      <x:c r="H5" s="115" t="str">
        <x:v>外部照合</x:v>
      </x:c>
      <x:c r="I5" s="115" t="str">
        <x:v>外部取得時刻 UTC</x:v>
      </x:c>
      <x:c r="J5" s="115" t="str">
        <x:v>解決済URL</x:v>
      </x:c>
      <x:c r="K5" s="115" t="str">
        <x:v>ZIP bytes</x:v>
      </x:c>
      <x:c r="L5" s="115" t="str">
        <x:v>feed_start</x:v>
      </x:c>
      <x:c r="M5" s="115" t="str">
        <x:v>feed_end</x:v>
      </x:c>
      <x:c r="N5" s="115" t="str">
        <x:v>feed_version</x:v>
      </x:c>
      <x:c r="O5" s="115" t="str">
        <x:v>shapes.txt</x:v>
      </x:c>
      <x:c r="P5" s="115" t="str">
        <x:v>必須ファイル</x:v>
      </x:c>
      <x:c r="Q5" s="115" t="str">
        <x:v>実装判断／次作業</x:v>
      </x:c>
      <x:c r="R5" s="115" t="str">
        <x:v>照合ソース</x:v>
      </x:c>
    </x:row>
    <x:row r="6" ht="44" customHeight="1">
      <x:c r="A6" s="29" t="str">
        <x:v>A</x:v>
      </x:c>
      <x:c r="B6" s="29" t="str">
        <x:v>F020</x:v>
      </x:c>
      <x:c r="C6" s="29" t="str">
        <x:v>三宅村</x:v>
      </x:c>
      <x:c r="D6" s="29" t="str">
        <x:v>村営バス</x:v>
      </x:c>
      <x:c r="E6" s="29" t="str">
        <x:v>CC BY 4.0</x:v>
      </x:c>
      <x:c r="F6" s="29" t="str">
        <x:v>https://api-public.odpt.org/api/v4/files/odpt/MiyakeVill/AllLine.zip?date=current</x:v>
      </x:c>
      <x:c r="G6" s="125" t="str">
        <x:v>未実行（本環境は外向き通信不可）</x:v>
      </x:c>
      <x:c r="H6" s="124" t="str">
        <x:v>2026-08-22取得成功</x:v>
      </x:c>
      <x:c r="I6" s="128" t="n">
        <x:v>46256.01135325232</x:v>
      </x:c>
      <x:c r="J6" s="124" t="str">
        <x:v>https://api-public.odpt.org/api/v4/files/odpt/MiyakeVill/AllLine.zip?date=20250929</x:v>
      </x:c>
      <x:c r="K6" s="132" t="n">
        <x:v>106023</x:v>
      </x:c>
      <x:c r="L6" s="130" t="n">
        <x:v>45929</x:v>
      </x:c>
      <x:c r="M6" s="130" t="n">
        <x:v>46387</x:v>
      </x:c>
      <x:c r="N6" s="124" t="str">
        <x:v>2019/07/01改正-見える化ver2.6e</x:v>
      </x:c>
      <x:c r="O6" s="126" t="str">
        <x:v>なし</x:v>
      </x:c>
      <x:c r="P6" s="126" t="str">
        <x:v>確認済み</x:v>
      </x:c>
      <x:c r="Q6" s="126" t="str">
        <x:v>代表便の停留所列からLineString補完</x:v>
      </x:c>
      <x:c r="R6" s="29" t="str">
        <x:v>https://github.com/F88/athenai-transit/blob/main/pipeline/workspace/state/download-meta/miyake-bus.json</x:v>
      </x:c>
    </x:row>
    <x:row r="7" ht="44" customHeight="1">
      <x:c r="A7" s="29" t="str">
        <x:v>A</x:v>
      </x:c>
      <x:c r="B7" s="29" t="str">
        <x:v>F005</x:v>
      </x:c>
      <x:c r="C7" s="29" t="str">
        <x:v>北区</x:v>
      </x:c>
      <x:c r="D7" s="29" t="str">
        <x:v>Kバス</x:v>
      </x:c>
      <x:c r="E7" s="29" t="str">
        <x:v>CC BY 4.0</x:v>
      </x:c>
      <x:c r="F7" s="29" t="str">
        <x:v>https://api-public.odpt.org/api/v4/files/odpt/HitachiAutomobileTransportation/KitaAllLines.zip?date=current</x:v>
      </x:c>
      <x:c r="G7" s="125" t="str">
        <x:v>未実行（本環境は外向き通信不可）</x:v>
      </x:c>
      <x:c r="H7" s="124" t="str">
        <x:v>2026-08-22取得成功</x:v>
      </x:c>
      <x:c r="I7" s="128" t="n">
        <x:v>46256.01133317129</x:v>
      </x:c>
      <x:c r="J7" s="124" t="str">
        <x:v>https://api-public.odpt.org/api/v4/files/odpt/HitachiAutomobileTransportation/KitaAllLines.zip?date=20251220</x:v>
      </x:c>
      <x:c r="K7" s="132" t="n">
        <x:v>33202</x:v>
      </x:c>
      <x:c r="L7" s="130" t="n">
        <x:v>46011</x:v>
      </x:c>
      <x:c r="M7" s="130" t="n">
        <x:v>46387</x:v>
      </x:c>
      <x:c r="N7" s="124" t="str">
        <x:v>20251220_K001</x:v>
      </x:c>
      <x:c r="O7" s="124" t="str">
        <x:v>あり</x:v>
      </x:c>
      <x:c r="P7" s="124" t="str">
        <x:v>確認済み</x:v>
      </x:c>
      <x:c r="Q7" s="29" t="str">
        <x:v>shapes.txtからLineString生成</x:v>
      </x:c>
      <x:c r="R7" s="29" t="str">
        <x:v>https://github.com/F88/athenai-transit/blob/main/pipeline/workspace/state/download-meta/kita-bus.json</x:v>
      </x:c>
    </x:row>
    <x:row r="8" ht="44" customHeight="1">
      <x:c r="A8" s="29" t="str">
        <x:v>A</x:v>
      </x:c>
      <x:c r="B8" s="29" t="str">
        <x:v>F021</x:v>
      </x:c>
      <x:c r="C8" s="29" t="str">
        <x:v>千代田区</x:v>
      </x:c>
      <x:c r="D8" s="29" t="str">
        <x:v>風ぐるま</x:v>
      </x:c>
      <x:c r="E8" s="29" t="str">
        <x:v>CC BY 4.0</x:v>
      </x:c>
      <x:c r="F8" s="29" t="str">
        <x:v>https://api-public.odpt.org/api/v4/files/odpt/HitachiAutomobileTransportation/Chiyoda_ALLLINES.zip?date=current</x:v>
      </x:c>
      <x:c r="G8" s="125" t="str">
        <x:v>未実行（本環境は外向き通信不可）</x:v>
      </x:c>
      <x:c r="H8" s="124" t="str">
        <x:v>2026-08-22取得成功</x:v>
      </x:c>
      <x:c r="I8" s="128" t="n">
        <x:v>46256.01126284722</x:v>
      </x:c>
      <x:c r="J8" s="124" t="str">
        <x:v>https://api-public.odpt.org/api/v4/files/odpt/HitachiAutomobileTransportation/Chiyoda_ALLLINES.zip?date=20260601</x:v>
      </x:c>
      <x:c r="K8" s="132" t="n">
        <x:v>29964</x:v>
      </x:c>
      <x:c r="L8" s="130" t="n">
        <x:v>46175</x:v>
      </x:c>
      <x:c r="M8" s="130" t="n">
        <x:v>46752</x:v>
      </x:c>
      <x:c r="N8" s="124" t="str">
        <x:v>Kaze_20260602</x:v>
      </x:c>
      <x:c r="O8" s="124" t="str">
        <x:v>あり</x:v>
      </x:c>
      <x:c r="P8" s="124" t="str">
        <x:v>確認済み</x:v>
      </x:c>
      <x:c r="Q8" s="29" t="str">
        <x:v>shapes.txtからLineString生成</x:v>
      </x:c>
      <x:c r="R8" s="29" t="str">
        <x:v>https://github.com/F88/athenai-transit/blob/main/pipeline/workspace/state/download-meta/chiyoda-bus.json</x:v>
      </x:c>
    </x:row>
    <x:row r="9" ht="44" customHeight="1">
      <x:c r="A9" s="29" t="str">
        <x:v>A</x:v>
      </x:c>
      <x:c r="B9" s="29" t="str">
        <x:v>F022</x:v>
      </x:c>
      <x:c r="C9" s="29" t="str">
        <x:v>台東区</x:v>
      </x:c>
      <x:c r="D9" s="29" t="str">
        <x:v>めぐりん</x:v>
      </x:c>
      <x:c r="E9" s="29" t="str">
        <x:v>CC BY 4.0</x:v>
      </x:c>
      <x:c r="F9" s="29" t="str">
        <x:v>https://api-public.odpt.org/api/v4/files/odpt/TokyoTaitoCity/megurinCCBY40.zip?date=current</x:v>
      </x:c>
      <x:c r="G9" s="125" t="str">
        <x:v>未実行（本環境は外向き通信不可）</x:v>
      </x:c>
      <x:c r="H9" s="124" t="str">
        <x:v>2026-08-22取得成功</x:v>
      </x:c>
      <x:c r="I9" s="128" t="n">
        <x:v>46256.01142584491</x:v>
      </x:c>
      <x:c r="J9" s="124" t="str">
        <x:v>https://api-public.odpt.org/api/v4/files/odpt/TokyoTaitoCity/megurinCCBY40.zip?date=20251028</x:v>
      </x:c>
      <x:c r="K9" s="132" t="n">
        <x:v>78030</x:v>
      </x:c>
      <x:c r="L9" s="130" t="n">
        <x:v>45879</x:v>
      </x:c>
      <x:c r="M9" s="130" t="n">
        <x:v>46387</x:v>
      </x:c>
      <x:c r="N9" s="124" t="str">
        <x:v>20250801_MEG001</x:v>
      </x:c>
      <x:c r="O9" s="124" t="str">
        <x:v>あり</x:v>
      </x:c>
      <x:c r="P9" s="124" t="str">
        <x:v>確認済み</x:v>
      </x:c>
      <x:c r="Q9" s="29" t="str">
        <x:v>shapes.txtからLineString生成</x:v>
      </x:c>
      <x:c r="R9" s="29" t="str">
        <x:v>https://github.com/F88/athenai-transit/blob/main/pipeline/workspace/state/download-meta/taito-c-bus.json</x:v>
      </x:c>
    </x:row>
    <x:row r="10" ht="44" customHeight="1">
      <x:c r="A10" s="29" t="str">
        <x:v>A</x:v>
      </x:c>
      <x:c r="B10" s="29" t="str">
        <x:v>F010</x:v>
      </x:c>
      <x:c r="C10" s="29" t="str">
        <x:v>国分寺市</x:v>
      </x:c>
      <x:c r="D10" s="29" t="str">
        <x:v>ぶんバス</x:v>
      </x:c>
      <x:c r="E10" s="29" t="str">
        <x:v>CC BY 4.0</x:v>
      </x:c>
      <x:c r="F10" s="29" t="str">
        <x:v>https://api-public.odpt.org/api/v4/files/odpt/KokubunjiCity/kokubunji_city_bunbus.zip?date=current</x:v>
      </x:c>
      <x:c r="G10" s="125" t="str">
        <x:v>未実行（本環境は外向き通信不可）</x:v>
      </x:c>
      <x:c r="H10" s="127" t="str">
        <x:v>未照合</x:v>
      </x:c>
      <x:c r="I10" s="129"/>
      <x:c r="J10" s="127"/>
      <x:c r="K10" s="133"/>
      <x:c r="L10" s="131"/>
      <x:c r="M10" s="131"/>
      <x:c r="N10" s="127"/>
      <x:c r="O10" s="127" t="str">
        <x:v>未照合</x:v>
      </x:c>
      <x:c r="P10" s="127" t="str">
        <x:v>未照合</x:v>
      </x:c>
      <x:c r="Q10" s="29" t="str">
        <x:v>GitHub Actionsまたはローカル環境で取得・検証</x:v>
      </x:c>
      <x:c r="R10" s="29"/>
    </x:row>
    <x:row r="11" ht="44" customHeight="1">
      <x:c r="A11" s="29" t="str">
        <x:v>A</x:v>
      </x:c>
      <x:c r="B11" s="29" t="str">
        <x:v>F012</x:v>
      </x:c>
      <x:c r="C11" s="29" t="str">
        <x:v>国立市</x:v>
      </x:c>
      <x:c r="D11" s="29" t="str">
        <x:v>あおやぎっこ</x:v>
      </x:c>
      <x:c r="E11" s="29" t="str">
        <x:v>CC BY 4.0</x:v>
      </x:c>
      <x:c r="F11" s="29" t="str">
        <x:v>https://api.gtfs-data.jp/v2/organizations/kunitachicity/feeds/aoyagikko/files/feed.zip</x:v>
      </x:c>
      <x:c r="G11" s="125" t="str">
        <x:v>未実行（本環境は外向き通信不可）</x:v>
      </x:c>
      <x:c r="H11" s="127" t="str">
        <x:v>未照合</x:v>
      </x:c>
      <x:c r="I11" s="129"/>
      <x:c r="J11" s="127"/>
      <x:c r="K11" s="133"/>
      <x:c r="L11" s="131"/>
      <x:c r="M11" s="131"/>
      <x:c r="N11" s="127"/>
      <x:c r="O11" s="127" t="str">
        <x:v>未照合</x:v>
      </x:c>
      <x:c r="P11" s="127" t="str">
        <x:v>未照合</x:v>
      </x:c>
      <x:c r="Q11" s="29" t="str">
        <x:v>GitHub Actionsまたはローカル環境で取得・検証</x:v>
      </x:c>
      <x:c r="R11" s="29"/>
    </x:row>
    <x:row r="12" ht="44" customHeight="1">
      <x:c r="A12" s="29" t="str">
        <x:v>A</x:v>
      </x:c>
      <x:c r="B12" s="29" t="str">
        <x:v>F011</x:v>
      </x:c>
      <x:c r="C12" s="29" t="str">
        <x:v>国立市</x:v>
      </x:c>
      <x:c r="D12" s="29" t="str">
        <x:v>くにっこ</x:v>
      </x:c>
      <x:c r="E12" s="29" t="str">
        <x:v>CC0 1.0</x:v>
      </x:c>
      <x:c r="F12" s="29" t="str">
        <x:v>https://api.gtfs-data.jp/v2/organizations/kunitachicity/feeds/kunikko/files/feed.zip</x:v>
      </x:c>
      <x:c r="G12" s="125" t="str">
        <x:v>未実行（本環境は外向き通信不可）</x:v>
      </x:c>
      <x:c r="H12" s="127" t="str">
        <x:v>未照合</x:v>
      </x:c>
      <x:c r="I12" s="129"/>
      <x:c r="J12" s="127"/>
      <x:c r="K12" s="133"/>
      <x:c r="L12" s="131"/>
      <x:c r="M12" s="131"/>
      <x:c r="N12" s="127"/>
      <x:c r="O12" s="127" t="str">
        <x:v>未照合</x:v>
      </x:c>
      <x:c r="P12" s="127" t="str">
        <x:v>未照合</x:v>
      </x:c>
      <x:c r="Q12" s="29" t="str">
        <x:v>GitHub Actionsまたはローカル環境で取得・検証</x:v>
      </x:c>
      <x:c r="R12" s="29"/>
    </x:row>
    <x:row r="13" ht="44" customHeight="1">
      <x:c r="A13" s="29" t="str">
        <x:v>A</x:v>
      </x:c>
      <x:c r="B13" s="29" t="str">
        <x:v>F023</x:v>
      </x:c>
      <x:c r="C13" s="29" t="str">
        <x:v>小笠原村</x:v>
      </x:c>
      <x:c r="D13" s="29" t="str">
        <x:v>村営バス</x:v>
      </x:c>
      <x:c r="E13" s="29" t="str">
        <x:v>CC BY 4.0</x:v>
      </x:c>
      <x:c r="F13" s="29" t="str">
        <x:v>https://api.gtfs-data.jp/v2/organizations/ogasawaravillage/feeds/o/files/feed.zip</x:v>
      </x:c>
      <x:c r="G13" s="125" t="str">
        <x:v>未実行（本環境は外向き通信不可）</x:v>
      </x:c>
      <x:c r="H13" s="127" t="str">
        <x:v>未照合</x:v>
      </x:c>
      <x:c r="I13" s="129"/>
      <x:c r="J13" s="127"/>
      <x:c r="K13" s="133"/>
      <x:c r="L13" s="131"/>
      <x:c r="M13" s="131"/>
      <x:c r="N13" s="127"/>
      <x:c r="O13" s="127" t="str">
        <x:v>未照合</x:v>
      </x:c>
      <x:c r="P13" s="127" t="str">
        <x:v>未照合</x:v>
      </x:c>
      <x:c r="Q13" s="29" t="str">
        <x:v>GitHub Actionsまたはローカル環境で取得・検証</x:v>
      </x:c>
      <x:c r="R13" s="29"/>
    </x:row>
    <x:row r="14" ht="44" customHeight="1">
      <x:c r="A14" s="29" t="str">
        <x:v>A</x:v>
      </x:c>
      <x:c r="B14" s="29" t="str">
        <x:v>F003</x:v>
      </x:c>
      <x:c r="C14" s="29" t="str">
        <x:v>文京区</x:v>
      </x:c>
      <x:c r="D14" s="29" t="str">
        <x:v>Bーぐる</x:v>
      </x:c>
      <x:c r="E14" s="29" t="str">
        <x:v>CC BY 4.0</x:v>
      </x:c>
      <x:c r="F14" s="29" t="str">
        <x:v>https://api-public.odpt.org/api/v4/files/odpt/HitachiAutomobileTransportation/AllLines.zip?date=current</x:v>
      </x:c>
      <x:c r="G14" s="125" t="str">
        <x:v>未実行（本環境は外向き通信不可）</x:v>
      </x:c>
      <x:c r="H14" s="124" t="str">
        <x:v>2026-08-22取得成功</x:v>
      </x:c>
      <x:c r="I14" s="128" t="n">
        <x:v>46256.011260405096</x:v>
      </x:c>
      <x:c r="J14" s="124" t="str">
        <x:v>https://api-public.odpt.org/api/v4/files/odpt/HitachiAutomobileTransportation/AllLines.zip?date=20260401</x:v>
      </x:c>
      <x:c r="K14" s="132" t="n">
        <x:v>49303</x:v>
      </x:c>
      <x:c r="L14" s="130" t="n">
        <x:v>46113</x:v>
      </x:c>
      <x:c r="M14" s="130" t="n">
        <x:v>46752</x:v>
      </x:c>
      <x:c r="N14" s="124" t="str">
        <x:v>B_20260401_001</x:v>
      </x:c>
      <x:c r="O14" s="124" t="str">
        <x:v>あり</x:v>
      </x:c>
      <x:c r="P14" s="124" t="str">
        <x:v>確認済み</x:v>
      </x:c>
      <x:c r="Q14" s="29" t="str">
        <x:v>shapes.txtからLineString生成</x:v>
      </x:c>
      <x:c r="R14" s="29" t="str">
        <x:v>https://github.com/F88/athenai-transit/blob/main/pipeline/workspace/state/download-meta/bunkyo-c-bus.json</x:v>
      </x:c>
    </x:row>
    <x:row r="15" ht="44" customHeight="1">
      <x:c r="A15" s="29" t="str">
        <x:v>A</x:v>
      </x:c>
      <x:c r="B15" s="29" t="str">
        <x:v>F025</x:v>
      </x:c>
      <x:c r="C15" s="29" t="str">
        <x:v>杉並区</x:v>
      </x:c>
      <x:c r="D15" s="29" t="str">
        <x:v>グリーンスローモビリティ</x:v>
      </x:c>
      <x:c r="E15" s="29" t="str">
        <x:v>CC BY 4.0</x:v>
      </x:c>
      <x:c r="F15" s="29" t="str">
        <x:v>https://api-public.odpt.org/api/v4/files/odpt/TokyoSuginamiCity/GreenSlowMobility.zip?date=current</x:v>
      </x:c>
      <x:c r="G15" s="125" t="str">
        <x:v>未実行（本環境は外向き通信不可）</x:v>
      </x:c>
      <x:c r="H15" s="124" t="str">
        <x:v>2026-08-22取得成功</x:v>
      </x:c>
      <x:c r="I15" s="128" t="n">
        <x:v>46256.01142185185</x:v>
      </x:c>
      <x:c r="J15" s="124" t="str">
        <x:v>https://api-public.odpt.org/api/v4/files/odpt/TokyoSuginamiCity/GreenSlowMobility.zip?date=20260601</x:v>
      </x:c>
      <x:c r="K15" s="132" t="n">
        <x:v>4576</x:v>
      </x:c>
      <x:c r="L15" s="130" t="n">
        <x:v>46227</x:v>
      </x:c>
      <x:c r="M15" s="130" t="n">
        <x:v>46934</x:v>
      </x:c>
      <x:c r="N15" s="124" t="str">
        <x:v>Suginami_City_Guri_20260724</x:v>
      </x:c>
      <x:c r="O15" s="124" t="str">
        <x:v>あり</x:v>
      </x:c>
      <x:c r="P15" s="124" t="str">
        <x:v>確認済み</x:v>
      </x:c>
      <x:c r="Q15" s="29" t="str">
        <x:v>shapes.txtからLineString生成</x:v>
      </x:c>
      <x:c r="R15" s="29" t="str">
        <x:v>https://github.com/F88/athenai-transit/blob/main/pipeline/workspace/state/download-meta/suginami-gsm.json</x:v>
      </x:c>
    </x:row>
    <x:row r="16" ht="44" customHeight="1">
      <x:c r="A16" s="29" t="str">
        <x:v>A</x:v>
      </x:c>
      <x:c r="B16" s="29" t="str">
        <x:v>F026</x:v>
      </x:c>
      <x:c r="C16" s="29" t="str">
        <x:v>東大和市</x:v>
      </x:c>
      <x:c r="D16" s="29" t="str">
        <x:v>ちょこバス</x:v>
      </x:c>
      <x:c r="E16" s="29" t="str">
        <x:v>CC0 1.0</x:v>
      </x:c>
      <x:c r="F16" s="29" t="str">
        <x:v>https://api-public.odpt.org/api/v4/files/odpt/HigashiyamatoCity/AllLines_CC0.zip?date=current</x:v>
      </x:c>
      <x:c r="G16" s="125" t="str">
        <x:v>未実行（本環境は外向き通信不可）</x:v>
      </x:c>
      <x:c r="H16" s="127" t="str">
        <x:v>未照合</x:v>
      </x:c>
      <x:c r="I16" s="129"/>
      <x:c r="J16" s="127"/>
      <x:c r="K16" s="133"/>
      <x:c r="L16" s="131"/>
      <x:c r="M16" s="131"/>
      <x:c r="N16" s="127"/>
      <x:c r="O16" s="127" t="str">
        <x:v>未照合</x:v>
      </x:c>
      <x:c r="P16" s="127" t="str">
        <x:v>未照合</x:v>
      </x:c>
      <x:c r="Q16" s="29" t="str">
        <x:v>GitHub Actionsまたはローカル環境で取得・検証</x:v>
      </x:c>
      <x:c r="R16" s="29"/>
    </x:row>
    <x:row r="17" ht="44" customHeight="1">
      <x:c r="A17" s="29" t="str">
        <x:v>A</x:v>
      </x:c>
      <x:c r="B17" s="29" t="str">
        <x:v>F015</x:v>
      </x:c>
      <x:c r="C17" s="29" t="str">
        <x:v>東村山市</x:v>
      </x:c>
      <x:c r="D17" s="29" t="str">
        <x:v>グリーンバス</x:v>
      </x:c>
      <x:c r="E17" s="29" t="str">
        <x:v>CC BY 4.0</x:v>
      </x:c>
      <x:c r="F17" s="29" t="str">
        <x:v>https://api-public.odpt.org/api/v4/files/odpt/HigashiMurayamaCity/Alllines.zip?date=current</x:v>
      </x:c>
      <x:c r="G17" s="125" t="str">
        <x:v>未実行（本環境は外向き通信不可）</x:v>
      </x:c>
      <x:c r="H17" s="127" t="str">
        <x:v>未照合</x:v>
      </x:c>
      <x:c r="I17" s="129"/>
      <x:c r="J17" s="127"/>
      <x:c r="K17" s="133"/>
      <x:c r="L17" s="131"/>
      <x:c r="M17" s="131"/>
      <x:c r="N17" s="127"/>
      <x:c r="O17" s="127" t="str">
        <x:v>未照合</x:v>
      </x:c>
      <x:c r="P17" s="127" t="str">
        <x:v>未照合</x:v>
      </x:c>
      <x:c r="Q17" s="29" t="str">
        <x:v>GitHub Actionsまたはローカル環境で取得・検証</x:v>
      </x:c>
      <x:c r="R17" s="29"/>
    </x:row>
    <x:row r="18" ht="44" customHeight="1">
      <x:c r="A18" s="29" t="str">
        <x:v>A</x:v>
      </x:c>
      <x:c r="B18" s="29" t="str">
        <x:v>F008</x:v>
      </x:c>
      <x:c r="C18" s="29" t="str">
        <x:v>板橋区</x:v>
      </x:c>
      <x:c r="D18" s="29" t="str">
        <x:v>りんりんGO</x:v>
      </x:c>
      <x:c r="E18" s="29" t="str">
        <x:v>CC BY 4.0</x:v>
      </x:c>
      <x:c r="F18" s="29" t="str">
        <x:v>https://www.city.itabashi.tokyo.jp/_res/projects/default_project/_page_/001/006/732/rinringo_gtfs_20260401asshuku.zip</x:v>
      </x:c>
      <x:c r="G18" s="125" t="str">
        <x:v>未実行（本環境は外向き通信不可）</x:v>
      </x:c>
      <x:c r="H18" s="124" t="str">
        <x:v>2026-08-22取得成功</x:v>
      </x:c>
      <x:c r="I18" s="128" t="n">
        <x:v>46256.01128722222</x:v>
      </x:c>
      <x:c r="J18" s="124" t="str">
        <x:v>https://www.city.itabashi.tokyo.jp/_res/projects/default_project/_page_/001/006/732/rinringo_gtfs_20260401asshuku.zip</x:v>
      </x:c>
      <x:c r="K18" s="132" t="n">
        <x:v>14806</x:v>
      </x:c>
      <x:c r="L18" s="130" t="n">
        <x:v>46113</x:v>
      </x:c>
      <x:c r="M18" s="130" t="n">
        <x:v>46843</x:v>
      </x:c>
      <x:c r="N18" s="124" t="str">
        <x:v>202604-202803-2026年05月11日 18時13分18秒-西沢ツールver8.31</x:v>
      </x:c>
      <x:c r="O18" s="124" t="str">
        <x:v>あり</x:v>
      </x:c>
      <x:c r="P18" s="124" t="str">
        <x:v>確認済み</x:v>
      </x:c>
      <x:c r="Q18" s="29" t="str">
        <x:v>shapes.txtからLineString生成</x:v>
      </x:c>
      <x:c r="R18" s="29" t="str">
        <x:v>https://github.com/F88/athenai-transit/blob/main/pipeline/workspace/state/download-meta/itabashi-rin2-bus.json</x:v>
      </x:c>
    </x:row>
    <x:row r="19" ht="44" customHeight="1">
      <x:c r="A19" s="29" t="str">
        <x:v>A</x:v>
      </x:c>
      <x:c r="B19" s="29" t="str">
        <x:v>F013</x:v>
      </x:c>
      <x:c r="C19" s="29" t="str">
        <x:v>清瀬市</x:v>
      </x:c>
      <x:c r="D19" s="29" t="str">
        <x:v>きよバス</x:v>
      </x:c>
      <x:c r="E19" s="29" t="str">
        <x:v>CC BY 4.0</x:v>
      </x:c>
      <x:c r="F19" s="29" t="str">
        <x:v>https://api-public.odpt.org/api/v4/files/odpt/KiyoseCity/KiyoBus.zip?date=current</x:v>
      </x:c>
      <x:c r="G19" s="125" t="str">
        <x:v>未実行（本環境は外向き通信不可）</x:v>
      </x:c>
      <x:c r="H19" s="127" t="str">
        <x:v>未照合</x:v>
      </x:c>
      <x:c r="I19" s="129"/>
      <x:c r="J19" s="127"/>
      <x:c r="K19" s="133"/>
      <x:c r="L19" s="131"/>
      <x:c r="M19" s="131"/>
      <x:c r="N19" s="127"/>
      <x:c r="O19" s="127" t="str">
        <x:v>未照合</x:v>
      </x:c>
      <x:c r="P19" s="127" t="str">
        <x:v>未照合</x:v>
      </x:c>
      <x:c r="Q19" s="29" t="str">
        <x:v>GitHub Actionsまたはローカル環境で取得・検証</x:v>
      </x:c>
      <x:c r="R19" s="29"/>
    </x:row>
    <x:row r="20" ht="44" customHeight="1">
      <x:c r="A20" s="29" t="str">
        <x:v>A</x:v>
      </x:c>
      <x:c r="B20" s="29" t="str">
        <x:v>F001</x:v>
      </x:c>
      <x:c r="C20" s="29" t="str">
        <x:v>渋谷区</x:v>
      </x:c>
      <x:c r="D20" s="29" t="str">
        <x:v>ハチ公バス</x:v>
      </x:c>
      <x:c r="E20" s="29" t="str">
        <x:v>CC BY 4.0</x:v>
      </x:c>
      <x:c r="F20" s="29" t="str">
        <x:v>https://www.arcgis.com/sharing/rest/content/items/185d0dbc980443b8b60e135349e2ae5e/data</x:v>
      </x:c>
      <x:c r="G20" s="125" t="str">
        <x:v>未実行（本環境は外向き通信不可）</x:v>
      </x:c>
      <x:c r="H20" s="124" t="str">
        <x:v>2026-08-22取得成功</x:v>
      </x:c>
      <x:c r="I20" s="128" t="n">
        <x:v>46256.0112809375</x:v>
      </x:c>
      <x:c r="J20" s="124" t="str">
        <x:v>https://www.arcgis.com/sharing/rest/content/items/185d0dbc980443b8b60e135349e2ae5e/data</x:v>
      </x:c>
      <x:c r="K20" s="132" t="n">
        <x:v>73419</x:v>
      </x:c>
      <x:c r="L20" s="130" t="n">
        <x:v>45460</x:v>
      </x:c>
      <x:c r="M20" s="130" t="n">
        <x:v>47573</x:v>
      </x:c>
      <x:c r="N20" s="124" t="str">
        <x:v>2024/06/01改正-見える化ver2.6e</x:v>
      </x:c>
      <x:c r="O20" s="126" t="str">
        <x:v>なし</x:v>
      </x:c>
      <x:c r="P20" s="126" t="str">
        <x:v>確認済み</x:v>
      </x:c>
      <x:c r="Q20" s="126" t="str">
        <x:v>代表便の停留所列からLineString補完</x:v>
      </x:c>
      <x:c r="R20" s="29" t="str">
        <x:v>https://github.com/F88/athenai-transit/blob/main/pipeline/workspace/state/download-meta/hachiko-bus.json</x:v>
      </x:c>
    </x:row>
    <x:row r="21" ht="44" customHeight="1">
      <x:c r="A21" s="29" t="str">
        <x:v>A</x:v>
      </x:c>
      <x:c r="B21" s="29" t="str">
        <x:v>F018</x:v>
      </x:c>
      <x:c r="C21" s="29" t="str">
        <x:v>瑞穂町</x:v>
      </x:c>
      <x:c r="D21" s="29" t="str">
        <x:v>コミュニティバス</x:v>
      </x:c>
      <x:c r="E21" s="29" t="str">
        <x:v>CC BY 4.0</x:v>
      </x:c>
      <x:c r="F21" s="29" t="str">
        <x:v>https://api.gtfs-data.jp/v2/organizations/mizuhotown/feeds/communitybus/files/feed.zip</x:v>
      </x:c>
      <x:c r="G21" s="125" t="str">
        <x:v>未実行（本環境は外向き通信不可）</x:v>
      </x:c>
      <x:c r="H21" s="127" t="str">
        <x:v>未照合</x:v>
      </x:c>
      <x:c r="I21" s="129"/>
      <x:c r="J21" s="127"/>
      <x:c r="K21" s="133"/>
      <x:c r="L21" s="131"/>
      <x:c r="M21" s="131"/>
      <x:c r="N21" s="127"/>
      <x:c r="O21" s="127" t="str">
        <x:v>未照合</x:v>
      </x:c>
      <x:c r="P21" s="127" t="str">
        <x:v>未照合</x:v>
      </x:c>
      <x:c r="Q21" s="29" t="str">
        <x:v>GitHub Actionsまたはローカル環境で取得・検証</x:v>
      </x:c>
      <x:c r="R21" s="29"/>
    </x:row>
    <x:row r="22" ht="44" customHeight="1">
      <x:c r="A22" s="29" t="str">
        <x:v>A</x:v>
      </x:c>
      <x:c r="B22" s="29" t="str">
        <x:v>F016</x:v>
      </x:c>
      <x:c r="C22" s="29" t="str">
        <x:v>町田市</x:v>
      </x:c>
      <x:c r="D22" s="29" t="str">
        <x:v>市民バス・コミュニティバス</x:v>
      </x:c>
      <x:c r="E22" s="29" t="str">
        <x:v>CC0 1.0</x:v>
      </x:c>
      <x:c r="F22" s="29" t="str">
        <x:v>https://api-public.odpt.org/api/v4/files/odpt/MachidaCity/AllLines.zip?date=current</x:v>
      </x:c>
      <x:c r="G22" s="125" t="str">
        <x:v>未実行（本環境は外向き通信不可）</x:v>
      </x:c>
      <x:c r="H22" s="127" t="str">
        <x:v>未照合</x:v>
      </x:c>
      <x:c r="I22" s="129"/>
      <x:c r="J22" s="127"/>
      <x:c r="K22" s="133"/>
      <x:c r="L22" s="131"/>
      <x:c r="M22" s="131"/>
      <x:c r="N22" s="127"/>
      <x:c r="O22" s="127" t="str">
        <x:v>未照合</x:v>
      </x:c>
      <x:c r="P22" s="127" t="str">
        <x:v>未照合</x:v>
      </x:c>
      <x:c r="Q22" s="29" t="str">
        <x:v>GitHub Actionsまたはローカル環境で取得・検証</x:v>
      </x:c>
      <x:c r="R22" s="29"/>
    </x:row>
    <x:row r="23" ht="44" customHeight="1">
      <x:c r="A23" s="29" t="str">
        <x:v>A</x:v>
      </x:c>
      <x:c r="B23" s="29" t="str">
        <x:v>F028</x:v>
      </x:c>
      <x:c r="C23" s="29" t="str">
        <x:v>神津島村</x:v>
      </x:c>
      <x:c r="D23" s="29" t="str">
        <x:v>村営バス</x:v>
      </x:c>
      <x:c r="E23" s="29" t="str">
        <x:v>CC BY 4.0</x:v>
      </x:c>
      <x:c r="F23" s="29" t="str">
        <x:v>https://api.gtfs-data.jp/v2/organizations/kozushimavillage/feeds/kozushimavillagebus/files/feed.zip</x:v>
      </x:c>
      <x:c r="G23" s="125" t="str">
        <x:v>未実行（本環境は外向き通信不可）</x:v>
      </x:c>
      <x:c r="H23" s="127" t="str">
        <x:v>未照合</x:v>
      </x:c>
      <x:c r="I23" s="129"/>
      <x:c r="J23" s="127"/>
      <x:c r="K23" s="133"/>
      <x:c r="L23" s="131"/>
      <x:c r="M23" s="131"/>
      <x:c r="N23" s="127"/>
      <x:c r="O23" s="127" t="str">
        <x:v>未照合</x:v>
      </x:c>
      <x:c r="P23" s="127" t="str">
        <x:v>未照合</x:v>
      </x:c>
      <x:c r="Q23" s="29" t="str">
        <x:v>GitHub Actionsまたはローカル環境で取得・検証</x:v>
      </x:c>
      <x:c r="R23" s="29"/>
    </x:row>
    <x:row r="24" ht="44" customHeight="1">
      <x:c r="A24" s="29" t="str">
        <x:v>A</x:v>
      </x:c>
      <x:c r="B24" s="29" t="str">
        <x:v>F014</x:v>
      </x:c>
      <x:c r="C24" s="29" t="str">
        <x:v>立川市</x:v>
      </x:c>
      <x:c r="D24" s="29" t="str">
        <x:v>くるりん</x:v>
      </x:c>
      <x:c r="E24" s="29" t="str">
        <x:v>CC BY 4.0</x:v>
      </x:c>
      <x:c r="F24" s="29" t="str">
        <x:v>https://api.gtfs-data.jp/v2/organizations/tachikawacity/feeds/kururinbus/files/feed.zip</x:v>
      </x:c>
      <x:c r="G24" s="125" t="str">
        <x:v>未実行（本環境は外向き通信不可）</x:v>
      </x:c>
      <x:c r="H24" s="127" t="str">
        <x:v>未照合</x:v>
      </x:c>
      <x:c r="I24" s="129"/>
      <x:c r="J24" s="127"/>
      <x:c r="K24" s="133"/>
      <x:c r="L24" s="131"/>
      <x:c r="M24" s="131"/>
      <x:c r="N24" s="127"/>
      <x:c r="O24" s="127" t="str">
        <x:v>未照合</x:v>
      </x:c>
      <x:c r="P24" s="127" t="str">
        <x:v>未照合</x:v>
      </x:c>
      <x:c r="Q24" s="29" t="str">
        <x:v>GitHub Actionsまたはローカル環境で取得・検証</x:v>
      </x:c>
      <x:c r="R24" s="29"/>
    </x:row>
    <x:row r="25" ht="44" customHeight="1">
      <x:c r="A25" s="29" t="str">
        <x:v>A</x:v>
      </x:c>
      <x:c r="B25" s="29" t="str">
        <x:v>F029</x:v>
      </x:c>
      <x:c r="C25" s="29" t="str">
        <x:v>荒川区</x:v>
      </x:c>
      <x:c r="D25" s="29" t="str">
        <x:v>コミュニティバスさくら</x:v>
      </x:c>
      <x:c r="E25" s="29" t="str">
        <x:v>CC BY 4.0</x:v>
      </x:c>
      <x:c r="F25" s="29" t="str">
        <x:v>https://api.gtfs-data.jp/v2/organizations/arakawacity/feeds/sakura/files/feed.zip</x:v>
      </x:c>
      <x:c r="G25" s="125" t="str">
        <x:v>未実行（本環境は外向き通信不可）</x:v>
      </x:c>
      <x:c r="H25" s="127" t="str">
        <x:v>未照合</x:v>
      </x:c>
      <x:c r="I25" s="129"/>
      <x:c r="J25" s="127"/>
      <x:c r="K25" s="133"/>
      <x:c r="L25" s="131"/>
      <x:c r="M25" s="131"/>
      <x:c r="N25" s="127"/>
      <x:c r="O25" s="127" t="str">
        <x:v>未照合</x:v>
      </x:c>
      <x:c r="P25" s="127" t="str">
        <x:v>未照合</x:v>
      </x:c>
      <x:c r="Q25" s="29" t="str">
        <x:v>GitHub Actionsまたはローカル環境で取得・検証</x:v>
      </x:c>
      <x:c r="R25" s="29"/>
    </x:row>
    <x:row r="26" ht="44" customHeight="1">
      <x:c r="A26" s="29" t="str">
        <x:v>A</x:v>
      </x:c>
      <x:c r="B26" s="29" t="str">
        <x:v>F030</x:v>
      </x:c>
      <x:c r="C26" s="29" t="str">
        <x:v>西東京市</x:v>
      </x:c>
      <x:c r="D26" s="29" t="str">
        <x:v>はなバス</x:v>
      </x:c>
      <x:c r="E26" s="29" t="str">
        <x:v>CC BY 4.0</x:v>
      </x:c>
      <x:c r="F26" s="29" t="str">
        <x:v>https://api-public.odpt.org/api/v4/files/odpt/NishitokyoCity/AllLines.zip?date=current</x:v>
      </x:c>
      <x:c r="G26" s="125" t="str">
        <x:v>未実行（本環境は外向き通信不可）</x:v>
      </x:c>
      <x:c r="H26" s="127" t="str">
        <x:v>未照合</x:v>
      </x:c>
      <x:c r="I26" s="129"/>
      <x:c r="J26" s="127"/>
      <x:c r="K26" s="133"/>
      <x:c r="L26" s="131"/>
      <x:c r="M26" s="131"/>
      <x:c r="N26" s="127"/>
      <x:c r="O26" s="127" t="str">
        <x:v>未照合</x:v>
      </x:c>
      <x:c r="P26" s="127" t="str">
        <x:v>未照合</x:v>
      </x:c>
      <x:c r="Q26" s="29" t="str">
        <x:v>GitHub Actionsまたはローカル環境で取得・検証</x:v>
      </x:c>
      <x:c r="R26" s="29"/>
    </x:row>
  </x:sheetData>
  <x:mergeCells>
    <x:mergeCell ref="A1:R1"/>
    <x:mergeCell ref="A2:R2"/>
  </x:mergeCells>
  <x:pageMargins left="0.7" right="0.7" top="0.75" bottom="0.75" header="0.3" footer="0.3"/>
  <x:tableParts count="1">
    <x:tablePart xmlns:r="http://schemas.openxmlformats.org/officeDocument/2006/relationships" r:id="Rf8519587bb974fbe"/>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2" hidden="0" customWidth="1"/>
    <x:col min="2" max="2" width="38" hidden="0" customWidth="1"/>
    <x:col min="3" max="3" width="36" hidden="0" customWidth="1"/>
    <x:col min="4" max="4" width="52" hidden="0" customWidth="1"/>
    <x:col min="5" max="5" width="12" hidden="0" customWidth="1"/>
    <x:col min="6" max="6" width="24" hidden="0" customWidth="1"/>
    <x:col min="7" max="7" width="24" hidden="0" customWidth="1"/>
    <x:col min="8" max="8" width="28" hidden="0" customWidth="1"/>
  </x:cols>
  <x:sheetData>
    <x:row r="1" ht="30" customHeight="1">
      <x:c r="A1" s="106" t="str">
        <x:v>次工程成果物・実行手順</x:v>
      </x:c>
      <x:c r="B1" s="106"/>
      <x:c r="C1" s="106"/>
      <x:c r="D1" s="106"/>
      <x:c r="E1" s="106"/>
      <x:c r="F1" s="106"/>
      <x:c r="G1" s="106"/>
      <x:c r="H1" s="106"/>
    </x:row>
    <x:row r="2" ht="32" customHeight="1">
      <x:c r="A2" s="110" t="str">
        <x:v>GTFS取得・検証・GeoJSON生成・現在地API・地図・PostGIS・日次更新を、同梱スターターキットで再現可能にした。</x:v>
      </x:c>
      <x:c r="B2" s="110"/>
      <x:c r="C2" s="110"/>
      <x:c r="D2" s="110"/>
      <x:c r="E2" s="110"/>
      <x:c r="F2" s="110"/>
      <x:c r="G2" s="110"/>
      <x:c r="H2" s="110"/>
    </x:row>
    <x:row r="4" ht="34" customHeight="1">
      <x:c r="A4" s="115" t="str">
        <x:v>区分</x:v>
      </x:c>
      <x:c r="B4" s="115" t="str">
        <x:v>パス</x:v>
      </x:c>
      <x:c r="C4" s="115" t="str">
        <x:v>役割</x:v>
      </x:c>
      <x:c r="D4" s="115" t="str">
        <x:v>実行／確認コマンド</x:v>
      </x:c>
      <x:c r="E4" s="115" t="str">
        <x:v>状態</x:v>
      </x:c>
      <x:c r="F4" s="115" t="str">
        <x:v>テスト結果</x:v>
      </x:c>
      <x:c r="G4" s="115" t="str">
        <x:v>入力</x:v>
      </x:c>
      <x:c r="H4" s="115" t="str">
        <x:v>出力</x:v>
      </x:c>
    </x:row>
    <x:row r="5" ht="48" customHeight="1">
      <x:c r="A5" s="29" t="str">
        <x:v>設定</x:v>
      </x:c>
      <x:c r="B5" s="29" t="str">
        <x:v>config/feeds.json</x:v>
      </x:c>
      <x:c r="C5" s="29" t="str">
        <x:v>優先度Aの21静的GTFSを一元管理</x:v>
      </x:c>
      <x:c r="D5" s="29" t="str">
        <x:v>PYTHONPATH=src python -m tokyo_local_bus validate-config</x:v>
      </x:c>
      <x:c r="E5" s="124" t="str">
        <x:v>完成</x:v>
      </x:c>
      <x:c r="F5" s="124" t="str">
        <x:v>21件・重複なし</x:v>
      </x:c>
      <x:c r="G5" s="29" t="str">
        <x:v>調査台帳</x:v>
      </x:c>
      <x:c r="H5" s="29" t="str">
        <x:v>検証済みFeedConfig</x:v>
      </x:c>
    </x:row>
    <x:row r="6" ht="48" customHeight="1">
      <x:c r="A6" s="29" t="str">
        <x:v>照合</x:v>
      </x:c>
      <x:c r="B6" s="29" t="str">
        <x:v>config/external_verification_2026-08-22.json</x:v>
      </x:c>
      <x:c r="C6" s="29" t="str">
        <x:v>8フィードの外部取得状態・有効期間・構成を保存</x:v>
      </x:c>
      <x:c r="D6" s="29" t="str">
        <x:v>JSON/CSVを確認</x:v>
      </x:c>
      <x:c r="E6" s="124" t="str">
        <x:v>完成</x:v>
      </x:c>
      <x:c r="F6" s="124" t="str">
        <x:v>8件 status=ok</x:v>
      </x:c>
      <x:c r="G6" s="29" t="str">
        <x:v>公開CI取得記録</x:v>
      </x:c>
      <x:c r="H6" s="29" t="str">
        <x:v>照合スナップショット</x:v>
      </x:c>
    </x:row>
    <x:row r="7" ht="48" customHeight="1">
      <x:c r="A7" s="29" t="str">
        <x:v>取得</x:v>
      </x:c>
      <x:c r="B7" s="29" t="str">
        <x:v>src/tokyo_local_bus/downloader.py</x:v>
      </x:c>
      <x:c r="C7" s="29" t="str">
        <x:v>ETag、Last-Modified、再試行、SHA-256、ZIP確認</x:v>
      </x:c>
      <x:c r="D7" s="29" t="str">
        <x:v>ingestコマンドから実行</x:v>
      </x:c>
      <x:c r="E7" s="124" t="str">
        <x:v>完成</x:v>
      </x:c>
      <x:c r="F7" s="124" t="str">
        <x:v>ローカルZIP試験成功</x:v>
      </x:c>
      <x:c r="G7" s="29" t="str">
        <x:v>設定URL</x:v>
      </x:c>
      <x:c r="H7" s="29" t="str">
        <x:v>data/raw・state</x:v>
      </x:c>
    </x:row>
    <x:row r="8" ht="48" customHeight="1">
      <x:c r="A8" s="29" t="str">
        <x:v>検証</x:v>
      </x:c>
      <x:c r="B8" s="29" t="str">
        <x:v>src/tokyo_local_bus/gtfs.py</x:v>
      </x:c>
      <x:c r="C8" s="29" t="str">
        <x:v>必須ファイル、主キー、参照、座標、時刻、有効期間を検査</x:v>
      </x:c>
      <x:c r="D8" s="29" t="str">
        <x:v>python -m unittest discover -s tests -v</x:v>
      </x:c>
      <x:c r="E8" s="124" t="str">
        <x:v>完成</x:v>
      </x:c>
      <x:c r="F8" s="124" t="str">
        <x:v>自動テスト成功</x:v>
      </x:c>
      <x:c r="G8" s="29" t="str">
        <x:v>展開済みGTFS</x:v>
      </x:c>
      <x:c r="H8" s="29" t="str">
        <x:v>validation.json</x:v>
      </x:c>
    </x:row>
    <x:row r="9" ht="48" customHeight="1">
      <x:c r="A9" s="29" t="str">
        <x:v>正規化</x:v>
      </x:c>
      <x:c r="B9" s="29" t="str">
        <x:v>src/tokyo_local_bus/geojson.py</x:v>
      </x:c>
      <x:c r="C9" s="29" t="str">
        <x:v>ID衝突防止、停留所Point、路線LineString生成</x:v>
      </x:c>
      <x:c r="D9" s="29" t="str">
        <x:v>同上</x:v>
      </x:c>
      <x:c r="E9" s="124" t="str">
        <x:v>完成</x:v>
      </x:c>
      <x:c r="F9" s="124" t="str">
        <x:v>3停留所・1形状生成</x:v>
      </x:c>
      <x:c r="G9" s="29" t="str">
        <x:v>GTFS tables</x:v>
      </x:c>
      <x:c r="H9" s="29" t="str">
        <x:v>stops/routes.geojson</x:v>
      </x:c>
    </x:row>
    <x:row r="10" ht="48" customHeight="1">
      <x:c r="A10" s="29" t="str">
        <x:v>形状補完</x:v>
      </x:c>
      <x:c r="B10" s="29" t="str">
        <x:v>src/tokyo_local_bus/geojson.py</x:v>
      </x:c>
      <x:c r="C10" s="29" t="str">
        <x:v>shapes.txt欠落時に代表便の停留所列を使用</x:v>
      </x:c>
      <x:c r="D10" s="29" t="str">
        <x:v>test_shape_fallback</x:v>
      </x:c>
      <x:c r="E10" s="124" t="str">
        <x:v>完成</x:v>
      </x:c>
      <x:c r="F10" s="124" t="str">
        <x:v>補完テスト成功</x:v>
      </x:c>
      <x:c r="G10" s="29" t="str">
        <x:v>trips・stop_times・stops</x:v>
      </x:c>
      <x:c r="H10" s="29" t="str">
        <x:v>LineString</x:v>
      </x:c>
    </x:row>
    <x:row r="11" ht="48" customHeight="1">
      <x:c r="A11" s="29" t="str">
        <x:v>パイプライン</x:v>
      </x:c>
      <x:c r="B11" s="29" t="str">
        <x:v>src/tokyo_local_bus/pipeline.py</x:v>
      </x:c>
      <x:c r="C11" s="29" t="str">
        <x:v>取得から集約までを原子的に実行</x:v>
      </x:c>
      <x:c r="D11" s="29" t="str">
        <x:v>PYTHONPATH=src python -m tokyo_local_bus ingest --feed F005</x:v>
      </x:c>
      <x:c r="E11" s="124" t="str">
        <x:v>完成</x:v>
      </x:c>
      <x:c r="F11" s="124" t="str">
        <x:v>E2E試験成功</x:v>
      </x:c>
      <x:c r="G11" s="29" t="str">
        <x:v>ZIP</x:v>
      </x:c>
      <x:c r="H11" s="29" t="str">
        <x:v>全体GeoJSON・run report</x:v>
      </x:c>
    </x:row>
    <x:row r="12" ht="48" customHeight="1">
      <x:c r="A12" s="29" t="str">
        <x:v>API</x:v>
      </x:c>
      <x:c r="B12" s="29" t="str">
        <x:v>src/tokyo_local_bus/server.py</x:v>
      </x:c>
      <x:c r="C12" s="29" t="str">
        <x:v>health、feed一覧、現在地近傍停留所、路線API</x:v>
      </x:c>
      <x:c r="D12" s="29" t="str">
        <x:v>PYTHONPATH=src python -m tokyo_local_bus serve</x:v>
      </x:c>
      <x:c r="E12" s="124" t="str">
        <x:v>完成</x:v>
      </x:c>
      <x:c r="F12" s="124" t="str">
        <x:v>HTTP 200・距離順3件</x:v>
      </x:c>
      <x:c r="G12" s="29" t="str">
        <x:v>集約GeoJSON</x:v>
      </x:c>
      <x:c r="H12" s="29" t="str">
        <x:v>JSON API</x:v>
      </x:c>
    </x:row>
    <x:row r="13" ht="48" customHeight="1">
      <x:c r="A13" s="29" t="str">
        <x:v>地図</x:v>
      </x:c>
      <x:c r="B13" s="29" t="str">
        <x:v>web/index.html / app.js / styles.css</x:v>
      </x:c>
      <x:c r="C13" s="29" t="str">
        <x:v>MapLibreで現在地、停留所、路線、絞り込みを表示</x:v>
      </x:c>
      <x:c r="D13" s="29" t="str">
        <x:v>http://127.0.0.1:8000</x:v>
      </x:c>
      <x:c r="E13" s="124" t="str">
        <x:v>完成</x:v>
      </x:c>
      <x:c r="F13" s="124" t="str">
        <x:v>index HTTP 200</x:v>
      </x:c>
      <x:c r="G13" s="29" t="str">
        <x:v>API・GeoJSON</x:v>
      </x:c>
      <x:c r="H13" s="29" t="str">
        <x:v>ブラウザ地図</x:v>
      </x:c>
    </x:row>
    <x:row r="14" ht="48" customHeight="1">
      <x:c r="A14" s="29" t="str">
        <x:v>PostGIS</x:v>
      </x:c>
      <x:c r="B14" s="29" t="str">
        <x:v>sql/schema.sql</x:v>
      </x:c>
      <x:c r="C14" s="29" t="str">
        <x:v>停留所・路線の空間インデックスとST_DWithin検索</x:v>
      </x:c>
      <x:c r="D14" s="29" t="str">
        <x:v>docker compose up -d postgis</x:v>
      </x:c>
      <x:c r="E14" s="124" t="str">
        <x:v>完成</x:v>
      </x:c>
      <x:c r="F14" s="124" t="str">
        <x:v>SQLレビュー済み</x:v>
      </x:c>
      <x:c r="G14" s="29" t="str">
        <x:v>GeoJSON</x:v>
      </x:c>
      <x:c r="H14" s="29" t="str">
        <x:v>空間DB</x:v>
      </x:c>
    </x:row>
    <x:row r="15" ht="48" customHeight="1">
      <x:c r="A15" s="29" t="str">
        <x:v>DB投入</x:v>
      </x:c>
      <x:c r="B15" s="29" t="str">
        <x:v>scripts/load_postgis.py</x:v>
      </x:c>
      <x:c r="C15" s="29" t="str">
        <x:v>正規化GeoJSONをPostGISへトランザクション投入</x:v>
      </x:c>
      <x:c r="D15" s="29" t="str">
        <x:v>python scripts/load_postgis.py</x:v>
      </x:c>
      <x:c r="E15" s="124" t="str">
        <x:v>完成</x:v>
      </x:c>
      <x:c r="F15" s="124" t="str">
        <x:v>接続環境で実行</x:v>
      </x:c>
      <x:c r="G15" s="29" t="str">
        <x:v>GeoJSON・catalog</x:v>
      </x:c>
      <x:c r="H15" s="29" t="str">
        <x:v>PostGIS rows</x:v>
      </x:c>
    </x:row>
    <x:row r="16" ht="48" customHeight="1">
      <x:c r="A16" s="29" t="str">
        <x:v>定期更新</x:v>
      </x:c>
      <x:c r="B16" s="29" t="str">
        <x:v>.github/workflows/update-gtfs.yml</x:v>
      </x:c>
      <x:c r="C16" s="29" t="str">
        <x:v>毎日09:15 JSTに取得・検証・集約・artifact化</x:v>
      </x:c>
      <x:c r="D16" s="29" t="str">
        <x:v>GitHub Actions workflow_dispatch</x:v>
      </x:c>
      <x:c r="E16" s="124" t="str">
        <x:v>完成</x:v>
      </x:c>
      <x:c r="F16" s="124" t="str">
        <x:v>構文作成済み</x:v>
      </x:c>
      <x:c r="G16" s="29" t="str">
        <x:v>21設定URL</x:v>
      </x:c>
      <x:c r="H16" s="29" t="str">
        <x:v>更新コミット・artifact</x:v>
      </x:c>
    </x:row>
    <x:row r="17" ht="48" customHeight="1">
      <x:c r="A17" s="29" t="str">
        <x:v>テスト</x:v>
      </x:c>
      <x:c r="B17" s="29" t="str">
        <x:v>tests/test_pipeline.py</x:v>
      </x:c>
      <x:c r="C17" s="29" t="str">
        <x:v>設定、検証、形状、補完、E2E、距離を検証</x:v>
      </x:c>
      <x:c r="D17" s="29" t="str">
        <x:v>PYTHONPATH=src python -m unittest discover -s tests -v</x:v>
      </x:c>
      <x:c r="E17" s="124" t="str">
        <x:v>成功</x:v>
      </x:c>
      <x:c r="F17" s="124" t="str">
        <x:v>5/5成功</x:v>
      </x:c>
      <x:c r="G17" s="29" t="str">
        <x:v>合成GTFS</x:v>
      </x:c>
      <x:c r="H17" s="29" t="str">
        <x:v>再現可能な試験結果</x:v>
      </x:c>
    </x:row>
    <x:row r="18" ht="48" customHeight="1">
      <x:c r="A18" s="29" t="str">
        <x:v>実行記録</x:v>
      </x:c>
      <x:c r="B18" s="29" t="str">
        <x:v>RUN_RESULTS.md</x:v>
      </x:c>
      <x:c r="C18" s="29" t="str">
        <x:v>2026-08-22の試験結果と制約を明示</x:v>
      </x:c>
      <x:c r="D18" s="29" t="str">
        <x:v>ファイルを確認</x:v>
      </x:c>
      <x:c r="E18" s="124" t="str">
        <x:v>完成</x:v>
      </x:c>
      <x:c r="F18" s="124" t="str">
        <x:v>API含む全試験成功</x:v>
      </x:c>
      <x:c r="G18" s="29" t="str">
        <x:v>テストログ</x:v>
      </x:c>
      <x:c r="H18" s="29" t="str">
        <x:v>監査記録</x:v>
      </x:c>
    </x:row>
    <x:row r="19" ht="48" customHeight="1">
      <x:c r="A19" s="29" t="str">
        <x:v>利用手順</x:v>
      </x:c>
      <x:c r="B19" s="29" t="str">
        <x:v>README.md</x:v>
      </x:c>
      <x:c r="C19" s="29" t="str">
        <x:v>取得、地図、PostGIS、CIの具体的手順</x:v>
      </x:c>
      <x:c r="D19" s="29" t="str">
        <x:v>上から順に実行</x:v>
      </x:c>
      <x:c r="E19" s="124" t="str">
        <x:v>完成</x:v>
      </x:c>
      <x:c r="F19" s="124" t="str">
        <x:v>コマンド記載</x:v>
      </x:c>
      <x:c r="G19" s="29" t="str">
        <x:v>全成果物</x:v>
      </x:c>
      <x:c r="H19" s="29" t="str">
        <x:v>運用手順</x:v>
      </x:c>
    </x:row>
  </x:sheetData>
  <x:mergeCells>
    <x:mergeCell ref="A1:H1"/>
    <x:mergeCell ref="A2:H2"/>
  </x:mergeCells>
  <x:pageMargins left="0.7" right="0.7" top="0.75" bottom="0.75" header="0.3" footer="0.3"/>
  <x:tableParts count="1">
    <x:tablePart xmlns:r="http://schemas.openxmlformats.org/officeDocument/2006/relationships" r:id="Rc01e19308580475e"/>
  </x:tableParts>
</x:worksheet>
</file>